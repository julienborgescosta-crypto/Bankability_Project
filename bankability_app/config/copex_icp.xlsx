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lien.borgescosta\Videos\"/>
    </mc:Choice>
  </mc:AlternateContent>
  <xr:revisionPtr revIDLastSave="0" documentId="8_{0B087308-E673-4E16-9417-C0D7ADF59DAD}" xr6:coauthVersionLast="47" xr6:coauthVersionMax="47" xr10:uidLastSave="{00000000-0000-0000-0000-000000000000}"/>
  <bookViews>
    <workbookView xWindow="-28920" yWindow="-120" windowWidth="29040" windowHeight="15720" activeTab="1" xr2:uid="{540C8C1F-1E50-4CA0-A325-996E2020A5FA}"/>
    <workbookView xWindow="-28920" yWindow="-120" windowWidth="29040" windowHeight="15720" activeTab="1" xr2:uid="{3794E96B-8F3C-4BC8-B883-5D97263E2710}"/>
  </bookViews>
  <sheets>
    <sheet name="Revisions" sheetId="3" r:id="rId1"/>
    <sheet name="COPEX_library" sheetId="1" r:id="rId2"/>
  </sheets>
  <definedNames>
    <definedName name="__fas123" hidden="1">{"Balance Sheet",#N/A,FALSE,"Annual Summary";"Cashflows",#N/A,FALSE,"Annual Summary";"Summary Earnings",#N/A,FALSE,"Annual Summary"}</definedName>
    <definedName name="_fas123" hidden="1">{"Balance Sheet",#N/A,FALSE,"Annual Summary";"Cashflows",#N/A,FALSE,"Annual Summary";"Summary Earnings",#N/A,FALSE,"Annual Summary"}</definedName>
    <definedName name="_Non4" hidden="1">1</definedName>
    <definedName name="_Order1" hidden="1">0</definedName>
    <definedName name="_Order2" hidden="1">0</definedName>
    <definedName name="Actual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AS2DocOpenMode" hidden="1">"AS2DocumentBrowse"</definedName>
    <definedName name="AS2ReportLS" hidden="1">1</definedName>
    <definedName name="AS2SyncStepLS" hidden="1">0</definedName>
    <definedName name="AS2VersionLS" hidden="1">300</definedName>
    <definedName name="asfd" hidden="1">{#N/A,#N/A,FALSE,"ACTUALS"}</definedName>
    <definedName name="bb" hidden="1">{#N/A,#N/A,FALSE,"ACTUALS"}</definedName>
    <definedName name="BG_Del" hidden="1">15</definedName>
    <definedName name="BG_Ins" hidden="1">4</definedName>
    <definedName name="BG_Mod" hidden="1">6</definedName>
    <definedName name="ch" hidden="1">{#N/A,#N/A,FALSE,"ACTUALS"}</definedName>
    <definedName name="chang" hidden="1">{#N/A,#N/A,FALSE,"ACTUALS"}</definedName>
    <definedName name="change" hidden="1">{#N/A,#N/A,FALSE,"ACTUALS"}</definedName>
    <definedName name="Chg" hidden="1">{#N/A,#N/A,FALSE,"ACTUALS"}</definedName>
    <definedName name="dfgh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dgfh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done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doone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e">6.55957</definedName>
    <definedName name="equity" hidden="1">{"Balance Sheet",#N/A,FALSE,"Annual Summary";"Cashflows",#N/A,FALSE,"Annual Summary";"Summary Earnings",#N/A,FALSE,"Annual Summary"}</definedName>
    <definedName name="ert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happ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happyt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hypo_cape_ope" localSheetId="1">L167C11:L179C11</definedName>
    <definedName name="hypo_cape_ope">L167C11:L179C11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"sda"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"12/16/2013 10:54:48"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Python_out" localSheetId="1">LCOE_PostVA:liste_va</definedName>
    <definedName name="Python_out">LCOE_PostVA:liste_va</definedName>
    <definedName name="Results" localSheetId="1">LCOE_PostVA:liste_va</definedName>
    <definedName name="Results">LCOE_PostVA:liste_va</definedName>
    <definedName name="Revenue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rf" hidden="1">{#N/A,#N/A,FALSE,"ACTUALS"}</definedName>
    <definedName name="srgh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TextRefCopyRangeCount" hidden="1">3</definedName>
    <definedName name="wrn.Aging._.and._.Trend._.Analysis." hidden="1">{#N/A,#N/A,FALSE,"Aging Summary";#N/A,#N/A,FALSE,"Ratio Analysis";#N/A,#N/A,FALSE,"Test 120 Day Accts";#N/A,#N/A,FALSE,"Tickmarks"}</definedName>
    <definedName name="wrn.blue" hidden="1">{#N/A,#N/A,FALSE,"ACTUALS"}</definedName>
    <definedName name="wrn.Current._.View." hidden="1">{#N/A,#N/A,FALSE,"ACCS-XXX.XLS";#N/A,#N/A,FALSE,"ACCS-ADJ.XLS";#N/A,#N/A,FALSE,"ACCS-COR.XLS";#N/A,#N/A,FALSE,"LEGL-ACX.XLS";#N/A,#N/A,FALSE,"JNTV-PHX.XLS"}</definedName>
    <definedName name="wrn.Current._.views." hidden="1">{#N/A,#N/A,FALSE,"REGN-AOH.XLS";#N/A,#N/A,FALSE,"ACCS-OHA.XLS";#N/A,#N/A,FALSE,"LEGL-OHL.XLS";#N/A,#N/A,FALSE,"ACCS-OCR.XLS";#N/A,#N/A,FALSE,"ACCS-AKR.XLS";#N/A,#N/A,FALSE,"ACCS-CBS.XLS";#N/A,#N/A,FALSE,"ACCS-TOL.XLS";#N/A,#N/A,FALSE,"ACCS-CLE.XLS";#N/A,#N/A,FALSE,"ACCS-DAY.XLS"}</definedName>
    <definedName name="wrn.environmental." hidden="1">{"offsite",#N/A,FALSE,"ENVIRONMENTAL";"onsite",#N/A,FALSE,"ENVIRONMENTAL";"summary",#N/A,FALSE,"ENVIRONMENTAL"}</definedName>
    <definedName name="wrn.green." hidden="1">{#N/A,#N/A,FALSE,"ACTUALS"}</definedName>
    <definedName name="wrn.PLSTATE." hidden="1">{#N/A,#N/A,TRUE,"WIRE-XXX";#N/A,#N/A,TRUE,"WIRE-COR";#N/A,#N/A,TRUE,"WIRE-TXX";#N/A,#N/A,TRUE,"WIRE-SAT";#N/A,#N/A,TRUE,"WIRE-ATP";#N/A,#N/A,TRUE,"WIRE-DEN";#N/A,#N/A,TRUE,"WIRE-STV";#N/A,#N/A,TRUE,"WIRE-CAR";#N/A,#N/A,TRUE,"WIRE-ATL";#N/A,#N/A,TRUE,"WIRE-NVN";#N/A,#N/A,TRUE,"WIRE-RED";#N/A,#N/A,TRUE,"WIRE-SPE";#N/A,#N/A,TRUE,"WIRE-CRECON";#N/A,#N/A,TRUE,"WIRE-CRECORP";#N/A,#N/A,TRUE,"WIRE-CRETELEPORT";#N/A,#N/A,TRUE,"WIRE-CREMARITIME"}</definedName>
    <definedName name="wrn.Print_All." hidden="1">{"JG_PandL",#N/A,FALSE,"WIRE-XXX";"View_No_Budget",#N/A,FALSE,"WIRE-XXX";"JG_PandL",#N/A,FALSE,"WIRE-XXX_No_Disc._Ops";"View_No_Budget",#N/A,FALSE,"WIRE-XXX_No_Disc._Ops";#N/A,#N/A,FALSE,"WIRE-COR";#N/A,#N/A,FALSE,"WIRE-ATP";#N/A,#N/A,FALSE,"WIRE-DEN";#N/A,#N/A,FALSE,"WIRE-STV";#N/A,#N/A,FALSE,"WIRE-CAR";#N/A,#N/A,FALSE,"WIRE-ATL";#N/A,#N/A,FALSE,"WIRE-INTL";#N/A,#N/A,FALSE,"WIRE-NVN";#N/A,#N/A,FALSE,"WIRE-SPE";#N/A,#N/A,FALSE,"WIRE-RED";#N/A,#N/A,FALSE,"WIRE-CRE_N";#N/A,#N/A,FALSE,"MTN-ADJ";#N/A,#N/A,FALSE,"WIRE-CRE_G";#N/A,#N/A,FALSE,"CRE-TPORT";#N/A,#N/A,FALSE,"CRE-MTIME";#N/A,#N/A,FALSE,"WIRE-ADJ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ummary._.Financials." hidden="1">{"Balance Sheet",#N/A,FALSE,"Annual Summary";"Cashflows",#N/A,FALSE,"Annual Summary";"Summary Earnings",#N/A,FALSE,"Annual Summary"}</definedName>
    <definedName name="wrn.Views." hidden="1">{#N/A,#N/A,FALSE,"WIRE-XXX";#N/A,#N/A,FALSE,"WIRE-COR";#N/A,#N/A,FALSE,"WIRE-SAT";#N/A,#N/A,FALSE,"WIRE-ATP";#N/A,#N/A,FALSE,"WIRE-DEN";#N/A,#N/A,FALSE,"WIRE-STV";#N/A,#N/A,FALSE,"WIRE-ATL";#N/A,#N/A,FALSE,"WIRE-CAR";#N/A,#N/A,FALSE,"WIRE-NVN";#N/A,#N/A,FALSE,"WIRE-RED";#N/A,#N/A,FALSE,"WIRE-SPE"}</definedName>
    <definedName name="XRefColumnsCount" hidden="1">1</definedName>
    <definedName name="XRefCopyRangeCount" hidden="1">1</definedName>
    <definedName name="XRefPasteRangeCount" hidden="1">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3" i="1" l="1"/>
  <c r="G23" i="1"/>
  <c r="F23" i="1"/>
  <c r="E23" i="1"/>
  <c r="D23" i="1"/>
  <c r="C23" i="1"/>
  <c r="H22" i="1"/>
  <c r="G22" i="1"/>
  <c r="F22" i="1"/>
  <c r="E22" i="1"/>
  <c r="D22" i="1"/>
  <c r="C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tc={BAB73440-2CA6-4572-AA5D-D76FDA32A3DA}</author>
    <author>tc={EB5E0604-E28C-4114-8882-F697D2DE5C9A}</author>
  </authors>
  <commentList>
    <comment ref="B21" authorId="0" shapeId="0" xr:uid="{BAB73440-2CA6-4572-AA5D-D76FDA32A3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For 0.1km distance 
(PoC at 0.1km from TSO substation)
Réponse :
    Rough estimation. Please consider +-30%</t>
      </text>
    </comment>
    <comment ref="B30" authorId="1" shapeId="0" xr:uid="{EB5E0604-E28C-4114-8882-F697D2DE5C9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Preventive maintenance (excl.
Battery)	
Legal maintenance	
Operation - on-call H24 7	
Operation - performance monitoring
Operation - power plant control	
Contract management
</t>
      </text>
    </comment>
  </commentList>
</comments>
</file>

<file path=xl/sharedStrings.xml><?xml version="1.0" encoding="utf-8"?>
<sst xmlns="http://schemas.openxmlformats.org/spreadsheetml/2006/main" count="82" uniqueCount="56">
  <si>
    <t>Hypothèses CAPEX BP - BESS Standalone</t>
  </si>
  <si>
    <t>75MWh+</t>
  </si>
  <si>
    <t>[0-75MWh]</t>
  </si>
  <si>
    <t>Forecast price factor (selon annee de NTP)</t>
  </si>
  <si>
    <t>Industrial-New trench</t>
  </si>
  <si>
    <t>Industrial-Existing trench</t>
  </si>
  <si>
    <t>TSO 63kV</t>
  </si>
  <si>
    <t>TSO 90kV</t>
  </si>
  <si>
    <t>TSO 225kV</t>
  </si>
  <si>
    <t>DSO</t>
  </si>
  <si>
    <t>Batteries and PCS - 2h</t>
  </si>
  <si>
    <t>HTB1</t>
  </si>
  <si>
    <t>Batteries and PCS - 4h</t>
  </si>
  <si>
    <t>Electrical works and studies</t>
  </si>
  <si>
    <t>Civil Works and miscellaneous</t>
  </si>
  <si>
    <t>HV Transformer</t>
  </si>
  <si>
    <t>HV substation</t>
  </si>
  <si>
    <t>HTA</t>
  </si>
  <si>
    <t>MV substation</t>
  </si>
  <si>
    <t>Communication</t>
  </si>
  <si>
    <t>Other BoP cost</t>
  </si>
  <si>
    <t>Integration</t>
  </si>
  <si>
    <t>Grid connection</t>
  </si>
  <si>
    <t>OPEX - O&amp;M (annual cost)</t>
  </si>
  <si>
    <t>EPC Margin</t>
  </si>
  <si>
    <t>EPC Contingency</t>
  </si>
  <si>
    <t>Historique des Revisions</t>
  </si>
  <si>
    <t>Rev°</t>
  </si>
  <si>
    <t>Date</t>
  </si>
  <si>
    <t>Initials</t>
  </si>
  <si>
    <t>JFE</t>
  </si>
  <si>
    <t>Création de la COPEX Library</t>
  </si>
  <si>
    <t>01/10/206</t>
  </si>
  <si>
    <t>Estimation des coûts des CAPEX et OPEX pour un projet stockage</t>
  </si>
  <si>
    <t>COPEX LIBRARY</t>
  </si>
  <si>
    <t>Hypothèses à utiliser pour des pré-chiffrages, en amont de la B&amp;C. Basées sur BDD CAPEX</t>
  </si>
  <si>
    <t>Lien BDD CAPEX</t>
  </si>
  <si>
    <t>Ajout de page de garde et modification : OPEX O&amp;M</t>
  </si>
  <si>
    <t>Modif structures et modif hypothèses OPEX O&amp;M</t>
  </si>
  <si>
    <t>Asset Management operation (annual cost)</t>
  </si>
  <si>
    <t>400€/MWh + 18k€</t>
  </si>
  <si>
    <t>Insurances construction (% of Total Capex)</t>
  </si>
  <si>
    <t>OPEX - Guarantees &amp; prev maint - 4h (annual)</t>
  </si>
  <si>
    <t>Insurances operation (% Capex + 1y incomes)</t>
  </si>
  <si>
    <t>OPEX - Guarantees &amp; prev maint - 2h</t>
  </si>
  <si>
    <t>Asset Management construction (incl. Coût fixe ISA)</t>
  </si>
  <si>
    <t>0,45% + 1y income</t>
  </si>
  <si>
    <t>Other (Admin/Accounting/Communication)</t>
  </si>
  <si>
    <t>HTB2</t>
  </si>
  <si>
    <t>*Autres OPEX inclus dans le BP: TURPE variable, ACCISE sur les auxiliaires, loyer, taxes</t>
  </si>
  <si>
    <t>Cost Owner : EPC</t>
  </si>
  <si>
    <t xml:space="preserve">Cost Owner : ASSET </t>
  </si>
  <si>
    <t>V2 - JFE - 08/10/2026</t>
  </si>
  <si>
    <t>V1 - JFE - 08/10/2026</t>
  </si>
  <si>
    <t xml:space="preserve">Cost Owner : XXX </t>
  </si>
  <si>
    <t>V1 - JBO - 08/10/2026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</si>
</sst>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&quot; €/MWh&quot;"/>
    <numFmt numFmtId="165" formatCode="0.000"/>
    <numFmt numFmtId="166" formatCode="0&quot; €/MW&quot;"/>
    <numFmt numFmtId="167" formatCode="#,##0&quot; k€&quot;"/>
    <numFmt numFmtId="168" formatCode="#,##0&quot; k€/MWh/y&quot;"/>
  </numFmts>
  <fonts count="22"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Arial"/>
      <family val="2"/>
      <scheme val="minor"/>
    </font>
    <font>
      <sz val="9"/>
      <color theme="1"/>
      <name val="Arial"/>
      <family val="2"/>
    </font>
    <font>
      <b/>
      <sz val="11"/>
      <name val="Arial"/>
      <family val="2"/>
      <scheme val="minor"/>
    </font>
    <font>
      <sz val="12"/>
      <color rgb="FF000000"/>
      <name val="맑은 고딕"/>
      <family val="2"/>
    </font>
    <font>
      <b/>
      <sz val="12"/>
      <color rgb="FF000E6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  <scheme val="minor"/>
    </font>
    <font>
      <sz val="11"/>
      <name val="Arial"/>
      <family val="2"/>
    </font>
    <font>
      <u/>
      <sz val="9"/>
      <color theme="10"/>
      <name val="Arial"/>
      <family val="2"/>
    </font>
    <font>
      <sz val="12"/>
      <color rgb="FF000E60"/>
      <name val="Arial"/>
      <family val="2"/>
    </font>
    <font>
      <b/>
      <sz val="28"/>
      <color rgb="FF00BE6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000E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E60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medium">
        <color rgb="FF000E60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rgb="FFD9D9D9"/>
      </top>
      <bottom style="thin">
        <color rgb="FFD9D9D9"/>
      </bottom>
      <diagonal/>
    </border>
    <border>
      <left style="medium">
        <color rgb="FF000E60"/>
      </left>
      <right style="thin">
        <color indexed="64"/>
      </right>
      <top/>
      <bottom style="thin">
        <color rgb="FFD9D9D9"/>
      </bottom>
      <diagonal/>
    </border>
    <border>
      <left style="thin">
        <color indexed="64"/>
      </left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/>
      <bottom style="thin">
        <color rgb="FFD9D9D9"/>
      </bottom>
      <diagonal/>
    </border>
    <border>
      <left style="thin">
        <color indexed="64"/>
      </left>
      <right style="medium">
        <color rgb="FF000E60"/>
      </right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</cellStyleXfs>
  <cellXfs count="114">
    <xf numFmtId="0" fontId="0" fillId="0" borderId="0" xfId="0"/>
    <xf numFmtId="0" fontId="9" fillId="2" borderId="0" xfId="1" applyFont="1" applyFill="1"/>
    <xf numFmtId="0" fontId="5" fillId="2" borderId="0" xfId="1" applyFill="1"/>
    <xf numFmtId="0" fontId="7" fillId="2" borderId="0" xfId="1" applyFont="1" applyFill="1"/>
    <xf numFmtId="0" fontId="5" fillId="2" borderId="0" xfId="1" applyFill="1" applyAlignment="1">
      <alignment horizontal="left"/>
    </xf>
    <xf numFmtId="0" fontId="10" fillId="2" borderId="0" xfId="1" applyFont="1" applyFill="1"/>
    <xf numFmtId="0" fontId="5" fillId="0" borderId="0" xfId="1"/>
    <xf numFmtId="0" fontId="5" fillId="2" borderId="0" xfId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5" fillId="2" borderId="0" xfId="1" applyFill="1" applyAlignment="1">
      <alignment horizontal="center"/>
    </xf>
    <xf numFmtId="0" fontId="6" fillId="3" borderId="0" xfId="1" applyFont="1" applyFill="1" applyAlignment="1">
      <alignment horizontal="left"/>
    </xf>
    <xf numFmtId="0" fontId="8" fillId="3" borderId="0" xfId="1" applyFont="1" applyFill="1" applyAlignment="1">
      <alignment horizontal="left"/>
    </xf>
    <xf numFmtId="0" fontId="5" fillId="0" borderId="0" xfId="1" applyAlignment="1">
      <alignment horizontal="left"/>
    </xf>
    <xf numFmtId="165" fontId="0" fillId="4" borderId="2" xfId="3" applyNumberFormat="1" applyFont="1" applyFill="1" applyBorder="1" applyAlignment="1">
      <alignment horizontal="center" vertical="center"/>
    </xf>
    <xf numFmtId="0" fontId="13" fillId="0" borderId="0" xfId="0" applyFont="1"/>
    <xf numFmtId="0" fontId="15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9" fillId="0" borderId="0" xfId="7"/>
    <xf numFmtId="167" fontId="5" fillId="6" borderId="2" xfId="1" applyNumberFormat="1" applyFill="1" applyBorder="1" applyAlignment="1">
      <alignment horizontal="center" vertical="center"/>
    </xf>
    <xf numFmtId="167" fontId="3" fillId="6" borderId="2" xfId="1" applyNumberFormat="1" applyFont="1" applyFill="1" applyBorder="1" applyAlignment="1">
      <alignment horizontal="center" vertical="center"/>
    </xf>
    <xf numFmtId="164" fontId="4" fillId="7" borderId="1" xfId="2" applyNumberFormat="1" applyFill="1" applyBorder="1" applyAlignment="1">
      <alignment horizontal="center"/>
    </xf>
    <xf numFmtId="166" fontId="4" fillId="7" borderId="1" xfId="2" applyNumberFormat="1" applyFill="1" applyBorder="1" applyAlignment="1">
      <alignment horizontal="center"/>
    </xf>
    <xf numFmtId="167" fontId="5" fillId="7" borderId="2" xfId="1" applyNumberFormat="1" applyFill="1" applyBorder="1" applyAlignment="1">
      <alignment horizontal="center" vertical="center"/>
    </xf>
    <xf numFmtId="10" fontId="5" fillId="7" borderId="2" xfId="1" applyNumberFormat="1" applyFill="1" applyBorder="1" applyAlignment="1">
      <alignment horizontal="center" vertical="center"/>
    </xf>
    <xf numFmtId="9" fontId="4" fillId="7" borderId="2" xfId="5" applyFont="1" applyFill="1" applyBorder="1" applyAlignment="1">
      <alignment horizontal="center" vertical="center"/>
    </xf>
    <xf numFmtId="2" fontId="0" fillId="4" borderId="2" xfId="3" applyNumberFormat="1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vertical="center"/>
    </xf>
    <xf numFmtId="0" fontId="14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vertical="center"/>
    </xf>
    <xf numFmtId="14" fontId="15" fillId="0" borderId="28" xfId="0" applyNumberFormat="1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3" fillId="0" borderId="0" xfId="0" applyFont="1"/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21" fillId="0" borderId="13" xfId="0" applyFont="1" applyBorder="1" applyAlignment="1" applyProtection="1">
      <alignment horizontal="center" vertical="center"/>
      <protection locked="0"/>
    </xf>
    <xf numFmtId="0" fontId="21" fillId="0" borderId="14" xfId="0" applyFont="1" applyBorder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/>
      <protection locked="0"/>
    </xf>
    <xf numFmtId="15" fontId="17" fillId="5" borderId="16" xfId="0" applyNumberFormat="1" applyFont="1" applyFill="1" applyBorder="1" applyAlignment="1">
      <alignment horizontal="center" vertical="center"/>
    </xf>
    <xf numFmtId="15" fontId="17" fillId="5" borderId="3" xfId="0" applyNumberFormat="1" applyFont="1" applyFill="1" applyBorder="1" applyAlignment="1">
      <alignment horizontal="center" vertical="center"/>
    </xf>
    <xf numFmtId="15" fontId="17" fillId="5" borderId="17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5" fillId="0" borderId="0" xfId="1" applyBorder="1" applyAlignment="1">
      <alignment horizontal="left"/>
    </xf>
    <xf numFmtId="0" fontId="6" fillId="4" borderId="0" xfId="1" applyFont="1" applyFill="1" applyBorder="1" applyAlignment="1">
      <alignment horizontal="center" vertical="center"/>
    </xf>
    <xf numFmtId="0" fontId="5" fillId="0" borderId="0" xfId="1" applyBorder="1"/>
    <xf numFmtId="168" fontId="5" fillId="6" borderId="30" xfId="1" applyNumberFormat="1" applyFill="1" applyBorder="1" applyAlignment="1">
      <alignment horizontal="center" vertical="center"/>
    </xf>
    <xf numFmtId="168" fontId="5" fillId="6" borderId="31" xfId="1" applyNumberFormat="1" applyFill="1" applyBorder="1" applyAlignment="1">
      <alignment horizontal="center" vertical="center"/>
    </xf>
    <xf numFmtId="167" fontId="5" fillId="6" borderId="32" xfId="1" applyNumberFormat="1" applyFill="1" applyBorder="1" applyAlignment="1">
      <alignment horizontal="center" vertical="center"/>
    </xf>
    <xf numFmtId="167" fontId="3" fillId="6" borderId="32" xfId="1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9" borderId="0" xfId="1" applyFont="1" applyFill="1" applyBorder="1" applyAlignment="1">
      <alignment horizontal="center" vertical="center"/>
    </xf>
    <xf numFmtId="164" fontId="4" fillId="7" borderId="36" xfId="2" applyNumberFormat="1" applyFill="1" applyBorder="1" applyAlignment="1">
      <alignment horizontal="center"/>
    </xf>
    <xf numFmtId="164" fontId="4" fillId="7" borderId="37" xfId="2" applyNumberFormat="1" applyFill="1" applyBorder="1" applyAlignment="1">
      <alignment horizontal="center"/>
    </xf>
    <xf numFmtId="164" fontId="4" fillId="7" borderId="38" xfId="2" applyNumberFormat="1" applyFill="1" applyBorder="1" applyAlignment="1">
      <alignment horizontal="center"/>
    </xf>
    <xf numFmtId="166" fontId="4" fillId="7" borderId="38" xfId="2" applyNumberFormat="1" applyFill="1" applyBorder="1" applyAlignment="1">
      <alignment horizontal="center"/>
    </xf>
    <xf numFmtId="167" fontId="5" fillId="7" borderId="32" xfId="1" applyNumberFormat="1" applyFill="1" applyBorder="1" applyAlignment="1">
      <alignment horizontal="center" vertical="center"/>
    </xf>
    <xf numFmtId="10" fontId="5" fillId="7" borderId="32" xfId="1" applyNumberFormat="1" applyFill="1" applyBorder="1" applyAlignment="1">
      <alignment horizontal="center" vertical="center"/>
    </xf>
    <xf numFmtId="9" fontId="4" fillId="7" borderId="32" xfId="5" applyFont="1" applyFill="1" applyBorder="1" applyAlignment="1">
      <alignment horizontal="center" vertical="center"/>
    </xf>
    <xf numFmtId="9" fontId="4" fillId="7" borderId="33" xfId="5" applyFont="1" applyFill="1" applyBorder="1" applyAlignment="1">
      <alignment horizontal="center" vertical="center"/>
    </xf>
    <xf numFmtId="9" fontId="4" fillId="7" borderId="34" xfId="5" applyFont="1" applyFill="1" applyBorder="1" applyAlignment="1">
      <alignment horizontal="center" vertical="center"/>
    </xf>
    <xf numFmtId="0" fontId="6" fillId="9" borderId="0" xfId="1" applyFont="1" applyFill="1" applyAlignment="1">
      <alignment horizontal="center" vertical="center"/>
    </xf>
    <xf numFmtId="0" fontId="1" fillId="0" borderId="0" xfId="1" applyFont="1"/>
    <xf numFmtId="167" fontId="3" fillId="6" borderId="33" xfId="1" applyNumberFormat="1" applyFont="1" applyFill="1" applyBorder="1" applyAlignment="1">
      <alignment horizontal="center" vertical="center"/>
    </xf>
    <xf numFmtId="167" fontId="3" fillId="6" borderId="34" xfId="1" applyNumberFormat="1" applyFont="1" applyFill="1" applyBorder="1" applyAlignment="1">
      <alignment horizontal="center" vertical="center"/>
    </xf>
    <xf numFmtId="168" fontId="5" fillId="6" borderId="39" xfId="1" applyNumberFormat="1" applyFill="1" applyBorder="1" applyAlignment="1">
      <alignment horizontal="center" vertical="center"/>
    </xf>
    <xf numFmtId="167" fontId="5" fillId="6" borderId="35" xfId="1" applyNumberFormat="1" applyFill="1" applyBorder="1" applyAlignment="1">
      <alignment horizontal="center" vertical="center"/>
    </xf>
    <xf numFmtId="167" fontId="2" fillId="6" borderId="35" xfId="1" applyNumberFormat="1" applyFont="1" applyFill="1" applyBorder="1" applyAlignment="1">
      <alignment horizontal="center" vertical="center"/>
    </xf>
    <xf numFmtId="167" fontId="2" fillId="6" borderId="40" xfId="1" applyNumberFormat="1" applyFont="1" applyFill="1" applyBorder="1" applyAlignment="1">
      <alignment horizontal="center" vertical="center"/>
    </xf>
    <xf numFmtId="0" fontId="6" fillId="9" borderId="41" xfId="1" applyFont="1" applyFill="1" applyBorder="1" applyAlignment="1">
      <alignment horizontal="center" vertical="center"/>
    </xf>
    <xf numFmtId="0" fontId="6" fillId="9" borderId="42" xfId="1" applyFont="1" applyFill="1" applyBorder="1" applyAlignment="1">
      <alignment horizontal="center" vertical="center"/>
    </xf>
    <xf numFmtId="0" fontId="12" fillId="6" borderId="43" xfId="1" applyFont="1" applyFill="1" applyBorder="1" applyAlignment="1">
      <alignment horizontal="center"/>
    </xf>
    <xf numFmtId="0" fontId="12" fillId="6" borderId="44" xfId="1" applyFont="1" applyFill="1" applyBorder="1" applyAlignment="1">
      <alignment horizontal="center"/>
    </xf>
    <xf numFmtId="0" fontId="12" fillId="6" borderId="45" xfId="1" applyFont="1" applyFill="1" applyBorder="1" applyAlignment="1">
      <alignment horizontal="center"/>
    </xf>
    <xf numFmtId="164" fontId="4" fillId="7" borderId="46" xfId="2" applyNumberFormat="1" applyFill="1" applyBorder="1" applyAlignment="1">
      <alignment horizontal="center"/>
    </xf>
    <xf numFmtId="164" fontId="4" fillId="7" borderId="47" xfId="2" applyNumberFormat="1" applyFill="1" applyBorder="1" applyAlignment="1">
      <alignment horizontal="center"/>
    </xf>
    <xf numFmtId="166" fontId="4" fillId="7" borderId="47" xfId="2" applyNumberFormat="1" applyFill="1" applyBorder="1" applyAlignment="1">
      <alignment horizontal="center"/>
    </xf>
    <xf numFmtId="167" fontId="5" fillId="7" borderId="35" xfId="1" applyNumberFormat="1" applyFill="1" applyBorder="1" applyAlignment="1">
      <alignment horizontal="center" vertical="center"/>
    </xf>
    <xf numFmtId="10" fontId="5" fillId="7" borderId="35" xfId="1" applyNumberFormat="1" applyFill="1" applyBorder="1" applyAlignment="1">
      <alignment horizontal="center" vertical="center"/>
    </xf>
    <xf numFmtId="9" fontId="4" fillId="7" borderId="35" xfId="5" applyFont="1" applyFill="1" applyBorder="1" applyAlignment="1">
      <alignment horizontal="center" vertical="center"/>
    </xf>
    <xf numFmtId="9" fontId="4" fillId="7" borderId="40" xfId="5" applyFont="1" applyFill="1" applyBorder="1" applyAlignment="1">
      <alignment horizontal="center" vertical="center"/>
    </xf>
    <xf numFmtId="0" fontId="6" fillId="8" borderId="42" xfId="1" applyFont="1" applyFill="1" applyBorder="1" applyAlignment="1">
      <alignment horizontal="center" vertical="center"/>
    </xf>
    <xf numFmtId="0" fontId="12" fillId="7" borderId="43" xfId="1" applyFont="1" applyFill="1" applyBorder="1" applyAlignment="1">
      <alignment horizontal="center" vertical="center"/>
    </xf>
    <xf numFmtId="164" fontId="7" fillId="7" borderId="44" xfId="1" applyNumberFormat="1" applyFont="1" applyFill="1" applyBorder="1" applyAlignment="1">
      <alignment horizontal="center" vertical="center"/>
    </xf>
    <xf numFmtId="0" fontId="12" fillId="7" borderId="44" xfId="1" applyFont="1" applyFill="1" applyBorder="1" applyAlignment="1">
      <alignment horizontal="center"/>
    </xf>
    <xf numFmtId="0" fontId="12" fillId="7" borderId="44" xfId="1" applyFont="1" applyFill="1" applyBorder="1" applyAlignment="1">
      <alignment horizontal="center" wrapText="1"/>
    </xf>
    <xf numFmtId="0" fontId="12" fillId="7" borderId="44" xfId="4" applyFont="1" applyFill="1" applyBorder="1" applyAlignment="1">
      <alignment horizontal="center" vertical="center"/>
    </xf>
    <xf numFmtId="0" fontId="12" fillId="7" borderId="45" xfId="4" applyFont="1" applyFill="1" applyBorder="1" applyAlignment="1">
      <alignment horizontal="center" vertical="center"/>
    </xf>
    <xf numFmtId="0" fontId="6" fillId="9" borderId="3" xfId="1" applyFont="1" applyFill="1" applyBorder="1" applyAlignment="1">
      <alignment horizontal="center" vertical="center"/>
    </xf>
    <xf numFmtId="0" fontId="6" fillId="9" borderId="17" xfId="1" applyFont="1" applyFill="1" applyBorder="1" applyAlignment="1">
      <alignment horizontal="center" vertical="center"/>
    </xf>
    <xf numFmtId="0" fontId="6" fillId="9" borderId="19" xfId="1" applyFont="1" applyFill="1" applyBorder="1" applyAlignment="1">
      <alignment horizontal="center" vertical="center"/>
    </xf>
    <xf numFmtId="167" fontId="5" fillId="10" borderId="48" xfId="1" applyNumberFormat="1" applyFill="1" applyBorder="1" applyAlignment="1">
      <alignment horizontal="center" vertical="center"/>
    </xf>
    <xf numFmtId="167" fontId="5" fillId="10" borderId="49" xfId="1" applyNumberFormat="1" applyFill="1" applyBorder="1" applyAlignment="1">
      <alignment horizontal="center" vertical="center"/>
    </xf>
    <xf numFmtId="167" fontId="5" fillId="10" borderId="50" xfId="1" applyNumberFormat="1" applyFill="1" applyBorder="1" applyAlignment="1">
      <alignment horizontal="center" vertical="center"/>
    </xf>
    <xf numFmtId="0" fontId="12" fillId="10" borderId="20" xfId="1" applyFont="1" applyFill="1" applyBorder="1" applyAlignment="1">
      <alignment horizontal="center"/>
    </xf>
  </cellXfs>
  <cellStyles count="9">
    <cellStyle name="Lien hypertexte" xfId="7" builtinId="8"/>
    <cellStyle name="Milliers 2" xfId="6" xr:uid="{165C533B-3352-44B4-8816-FA61A1D4443F}"/>
    <cellStyle name="Normal" xfId="0" builtinId="0"/>
    <cellStyle name="Normal 7 2 2" xfId="2" xr:uid="{59B154AF-C098-49BC-876B-3A59780822FF}"/>
    <cellStyle name="Normal 8" xfId="1" xr:uid="{7FC3F739-C4F8-4AA1-9803-29F0CCFF569C}"/>
    <cellStyle name="Normal 8 3" xfId="4" xr:uid="{7A6CD391-1E01-4093-B624-EC1750B53C5E}"/>
    <cellStyle name="Normal 8 4" xfId="8" xr:uid="{AC17045E-1BE2-4209-AA5C-A0A7201318D0}"/>
    <cellStyle name="Percent" xfId="5" xr:uid="{185A5197-662C-4F04-A835-5F054698B394}"/>
    <cellStyle name="Pourcentage 8" xfId="3" xr:uid="{1289708C-8591-4A04-8D71-4A258900FAEC}"/>
  </cellStyles>
  <dxfs count="0"/>
  <tableStyles count="0" defaultTableStyle="TableStyleMedium2" defaultPivotStyle="PivotStyleLight16"/>
  <colors>
    <mruColors>
      <color rgb="FFE0C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12701</xdr:rowOff>
    </xdr:from>
    <xdr:to>
      <xdr:col>1</xdr:col>
      <xdr:colOff>2993304</xdr:colOff>
      <xdr:row>4</xdr:row>
      <xdr:rowOff>57230</xdr:rowOff>
    </xdr:to>
    <xdr:pic>
      <xdr:nvPicPr>
        <xdr:cNvPr id="2" name="Image 1" descr="Qui sommes-nous ? - Q ENERGY">
          <a:extLst>
            <a:ext uri="{FF2B5EF4-FFF2-40B4-BE49-F238E27FC236}">
              <a16:creationId xmlns:a16="http://schemas.microsoft.com/office/drawing/2014/main" id="{DBD9EA2F-BA1B-4E7D-BEEC-81A4A5F6A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01"/>
          <a:ext cx="3002829" cy="745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lien Ferrand" id="{4B45CFAA-8084-474C-889B-9B9B24EA5A86}" userId="S::julien.ferrand@qenergy.eu::87ccf18e-1ecf-431a-95cf-d0ccd7a7e8a6" providerId="AD"/>
</personList>
</file>

<file path=xl/theme/theme1.xml><?xml version="1.0" encoding="utf-8"?>
<a:theme xmlns:a="http://schemas.openxmlformats.org/drawingml/2006/main" name="Theme1">
  <a:themeElements>
    <a:clrScheme name="Qenergy PPT">
      <a:dk1>
        <a:sysClr val="windowText" lastClr="000000"/>
      </a:dk1>
      <a:lt1>
        <a:sysClr val="window" lastClr="FFFFFF"/>
      </a:lt1>
      <a:dk2>
        <a:srgbClr val="000E60"/>
      </a:dk2>
      <a:lt2>
        <a:srgbClr val="E6E6E6"/>
      </a:lt2>
      <a:accent1>
        <a:srgbClr val="00BE64"/>
      </a:accent1>
      <a:accent2>
        <a:srgbClr val="B2EBCE"/>
      </a:accent2>
      <a:accent3>
        <a:srgbClr val="000E60"/>
      </a:accent3>
      <a:accent4>
        <a:srgbClr val="B2B6CE"/>
      </a:accent4>
      <a:accent5>
        <a:srgbClr val="F5FF00"/>
      </a:accent5>
      <a:accent6>
        <a:srgbClr val="999999"/>
      </a:accent6>
      <a:hlink>
        <a:srgbClr val="000000"/>
      </a:hlink>
      <a:folHlink>
        <a:srgbClr val="00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custClrLst>
    <a:custClr name="Green">
      <a:srgbClr val="00BE64"/>
    </a:custClr>
    <a:custClr name="Yellow">
      <a:srgbClr val="F5FF00"/>
    </a:custClr>
    <a:custClr name="Dark Blue">
      <a:srgbClr val="000E60"/>
    </a:custClr>
    <a:custClr name="Black">
      <a:srgbClr val="000000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Green 60%">
      <a:srgbClr val="66D7A1"/>
    </a:custClr>
    <a:custClr name="Yellow70%">
      <a:srgbClr val="F7FF4D"/>
    </a:custClr>
    <a:custClr name="Dark Blue 60%">
      <a:srgbClr val="666E9F"/>
    </a:custClr>
    <a:custClr name="Black 40%">
      <a:srgbClr val="999999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Green 30%">
      <a:srgbClr val="B2EBD0"/>
    </a:custClr>
    <a:custClr name="Yellow 40%">
      <a:srgbClr val="FAFF98"/>
    </a:custClr>
    <a:custClr name="Dark Blue 30%">
      <a:srgbClr val="B2B6CE"/>
    </a:custClr>
    <a:custClr name="Black 20%">
      <a:srgbClr val="CCCCCC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Green 10%">
      <a:srgbClr val="E6F9EF"/>
    </a:custClr>
    <a:custClr name="Yellow 20%">
      <a:srgbClr val="FCFFCB"/>
    </a:custClr>
    <a:custClr name="Dark Blue 10%">
      <a:srgbClr val="E5E7EF"/>
    </a:custClr>
    <a:custClr name="Black 10%">
      <a:srgbClr val="E6E6E6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</a:custClrLst>
  <a:extLst>
    <a:ext uri="{05A4C25C-085E-4340-85A3-A5531E510DB2}">
      <thm15:themeFamily xmlns:thm15="http://schemas.microsoft.com/office/thememl/2012/main" name="Theme1" id="{2CED3D46-1991-49A3-9C00-434D7F067722}" vid="{191577FF-5A65-456E-8DD0-C01314C7A083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" dT="2026-10-01T10:16:20.89" personId="{4B45CFAA-8084-474C-889B-9B9B24EA5A86}" id="{BAB73440-2CA6-4572-AA5D-D76FDA32A3DA}">
    <text>For 0.1km distance 
(PoC at 0.1km from TSO substation)</text>
  </threadedComment>
  <threadedComment ref="B21" dT="2026-10-01T10:17:46.65" personId="{4B45CFAA-8084-474C-889B-9B9B24EA5A86}" id="{1B2FA8DD-1595-4844-8C1C-987C278A9589}" parentId="{BAB73440-2CA6-4572-AA5D-D76FDA32A3DA}">
    <text>Rough estimation. Please consider +-30%</text>
  </threadedComment>
  <threadedComment ref="B30" dT="2026-10-07T14:23:02.79" personId="{4B45CFAA-8084-474C-889B-9B9B24EA5A86}" id="{EB5E0604-E28C-4114-8882-F697D2DE5C9A}">
    <text xml:space="preserve">Preventive maintenance (excl.
Battery)	
Legal maintenance	
Operation - on-call H24 7	
Operation - performance monitoring
Operation - power plant control	
Contract management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0B1CE2-367D-4061-903A-AF388F89230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04f124f-8033-4276-9012-6b5eb5aeed7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energysolutionsse.sharepoint.com/sites/Mind_Services125/Shared%20Documents/Forms/AllItems.aspx?id=%2Fsites%2FMind%5FServices125%2FShared%20Documents%2F2%2E%20INGENIERIE%2FSTOCKAGE%2FBudg%C3%A9tisa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019A-9018-4CF0-80FA-B63BC3343D57}">
  <dimension ref="A1:H197"/>
  <sheetViews>
    <sheetView workbookViewId="0">
      <selection activeCell="B4" sqref="B4:G4"/>
    </sheetView>
    <sheetView workbookViewId="1">
      <selection sqref="A1:B1"/>
    </sheetView>
  </sheetViews>
  <sheetFormatPr baseColWidth="10" defaultRowHeight="12"/>
  <cols>
    <col min="1" max="1" width="6.7109375" customWidth="1"/>
    <col min="2" max="2" width="6.5703125" customWidth="1"/>
    <col min="3" max="3" width="68.85546875" customWidth="1"/>
    <col min="4" max="7" width="13.5703125" customWidth="1"/>
    <col min="8" max="8" width="19.7109375" customWidth="1"/>
  </cols>
  <sheetData>
    <row r="1" spans="1:8" ht="12" customHeight="1" thickBot="1">
      <c r="A1" s="49"/>
      <c r="B1" s="49"/>
      <c r="C1" s="14"/>
      <c r="D1" s="14"/>
      <c r="E1" s="14"/>
      <c r="F1" s="14"/>
      <c r="G1" s="14"/>
    </row>
    <row r="2" spans="1:8" ht="43.15" customHeight="1" thickBot="1">
      <c r="A2" s="14"/>
      <c r="B2" s="53" t="s">
        <v>34</v>
      </c>
      <c r="C2" s="54"/>
      <c r="D2" s="54"/>
      <c r="E2" s="54"/>
      <c r="F2" s="54"/>
      <c r="G2" s="55"/>
    </row>
    <row r="3" spans="1:8" ht="17.25">
      <c r="A3" s="14"/>
      <c r="B3" s="56" t="s">
        <v>33</v>
      </c>
      <c r="C3" s="57"/>
      <c r="D3" s="57"/>
      <c r="E3" s="57"/>
      <c r="F3" s="57"/>
      <c r="G3" s="58"/>
    </row>
    <row r="4" spans="1:8" ht="17.25">
      <c r="A4" s="14"/>
      <c r="B4" s="59" t="s">
        <v>35</v>
      </c>
      <c r="C4" s="60"/>
      <c r="D4" s="60"/>
      <c r="E4" s="60"/>
      <c r="F4" s="60"/>
      <c r="G4" s="61"/>
      <c r="H4" s="28" t="s">
        <v>36</v>
      </c>
    </row>
    <row r="5" spans="1:8" ht="18" thickBot="1">
      <c r="A5" s="49"/>
      <c r="B5" s="49"/>
      <c r="C5" s="14"/>
      <c r="D5" s="14"/>
      <c r="E5" s="14"/>
      <c r="F5" s="14"/>
      <c r="G5" s="14"/>
    </row>
    <row r="6" spans="1:8" ht="18" thickBot="1">
      <c r="A6" s="14"/>
      <c r="B6" s="50" t="s">
        <v>26</v>
      </c>
      <c r="C6" s="51"/>
      <c r="D6" s="51"/>
      <c r="E6" s="51"/>
      <c r="F6" s="51"/>
      <c r="G6" s="52"/>
    </row>
    <row r="7" spans="1:8" ht="17.25">
      <c r="A7" s="14"/>
      <c r="B7" s="23" t="s">
        <v>27</v>
      </c>
      <c r="C7" s="24"/>
      <c r="D7" s="25" t="s">
        <v>28</v>
      </c>
      <c r="E7" s="25" t="s">
        <v>29</v>
      </c>
      <c r="F7" s="26"/>
      <c r="G7" s="27"/>
    </row>
    <row r="8" spans="1:8" ht="17.25">
      <c r="A8" s="14"/>
      <c r="B8" s="15">
        <v>1</v>
      </c>
      <c r="C8" s="16" t="s">
        <v>31</v>
      </c>
      <c r="D8" s="17" t="s">
        <v>32</v>
      </c>
      <c r="E8" s="17" t="s">
        <v>30</v>
      </c>
      <c r="F8" s="18"/>
      <c r="G8" s="19"/>
    </row>
    <row r="9" spans="1:8" ht="17.25">
      <c r="A9" s="14"/>
      <c r="B9" s="15">
        <v>2</v>
      </c>
      <c r="C9" s="20" t="s">
        <v>37</v>
      </c>
      <c r="D9" s="22">
        <v>46300</v>
      </c>
      <c r="E9" s="17" t="s">
        <v>30</v>
      </c>
      <c r="F9" s="18"/>
      <c r="G9" s="19"/>
    </row>
    <row r="10" spans="1:8" ht="17.25">
      <c r="A10" s="14"/>
      <c r="B10" s="15">
        <v>3</v>
      </c>
      <c r="C10" s="20"/>
      <c r="D10" s="17"/>
      <c r="E10" s="17"/>
      <c r="F10" s="18"/>
      <c r="G10" s="19"/>
    </row>
    <row r="11" spans="1:8" ht="17.25">
      <c r="A11" s="14"/>
      <c r="B11" s="15">
        <v>4</v>
      </c>
      <c r="C11" s="20"/>
      <c r="D11" s="17"/>
      <c r="E11" s="17"/>
      <c r="F11" s="18"/>
      <c r="G11" s="19"/>
    </row>
    <row r="12" spans="1:8" ht="17.25">
      <c r="A12" s="14"/>
      <c r="B12" s="15">
        <v>5</v>
      </c>
      <c r="C12" s="20"/>
      <c r="D12" s="17"/>
      <c r="E12" s="17"/>
      <c r="F12" s="18"/>
      <c r="G12" s="19"/>
    </row>
    <row r="13" spans="1:8" ht="17.25">
      <c r="A13" s="14"/>
      <c r="B13" s="15">
        <v>6</v>
      </c>
      <c r="C13" s="20"/>
      <c r="D13" s="17"/>
      <c r="E13" s="17"/>
      <c r="F13" s="18"/>
      <c r="G13" s="19"/>
    </row>
    <row r="14" spans="1:8" ht="17.25">
      <c r="A14" s="14"/>
      <c r="B14" s="15">
        <v>7</v>
      </c>
      <c r="C14" s="20"/>
      <c r="D14" s="17"/>
      <c r="E14" s="17"/>
      <c r="F14" s="18"/>
      <c r="G14" s="19"/>
    </row>
    <row r="15" spans="1:8" ht="17.25">
      <c r="A15" s="14"/>
      <c r="B15" s="15">
        <v>8</v>
      </c>
      <c r="C15" s="20"/>
      <c r="D15" s="17"/>
      <c r="E15" s="17"/>
      <c r="F15" s="18"/>
      <c r="G15" s="19"/>
    </row>
    <row r="16" spans="1:8" ht="17.25">
      <c r="B16" s="15">
        <v>9</v>
      </c>
      <c r="C16" s="20"/>
      <c r="D16" s="17"/>
      <c r="E16" s="17"/>
      <c r="F16" s="18"/>
      <c r="G16" s="19"/>
    </row>
    <row r="17" spans="2:7" ht="17.25">
      <c r="B17" s="15">
        <v>10</v>
      </c>
      <c r="C17" s="20"/>
      <c r="D17" s="17"/>
      <c r="E17" s="17"/>
      <c r="F17" s="18"/>
      <c r="G17" s="19"/>
    </row>
    <row r="18" spans="2:7" ht="17.25">
      <c r="B18" s="15">
        <v>11</v>
      </c>
      <c r="C18" s="20"/>
      <c r="D18" s="17"/>
      <c r="E18" s="17"/>
      <c r="F18" s="18"/>
      <c r="G18" s="19"/>
    </row>
    <row r="19" spans="2:7" ht="17.25">
      <c r="B19" s="15">
        <v>12</v>
      </c>
      <c r="C19" s="20"/>
      <c r="D19" s="17"/>
      <c r="E19" s="17"/>
      <c r="F19" s="18"/>
      <c r="G19" s="19"/>
    </row>
    <row r="20" spans="2:7" ht="17.25">
      <c r="B20" s="15">
        <v>13</v>
      </c>
      <c r="C20" s="20"/>
      <c r="D20" s="17"/>
      <c r="E20" s="17"/>
      <c r="F20" s="18"/>
      <c r="G20" s="19"/>
    </row>
    <row r="21" spans="2:7" ht="17.25">
      <c r="B21" s="15">
        <v>14</v>
      </c>
      <c r="C21" s="20"/>
      <c r="D21" s="17"/>
      <c r="E21" s="17"/>
      <c r="F21" s="18"/>
      <c r="G21" s="19"/>
    </row>
    <row r="22" spans="2:7" ht="17.25">
      <c r="B22" s="15">
        <v>15</v>
      </c>
      <c r="C22" s="20"/>
      <c r="D22" s="17"/>
      <c r="E22" s="17"/>
      <c r="F22" s="18"/>
      <c r="G22" s="19"/>
    </row>
    <row r="23" spans="2:7" ht="17.25">
      <c r="B23" s="15">
        <v>16</v>
      </c>
      <c r="C23" s="20"/>
      <c r="D23" s="17"/>
      <c r="E23" s="17"/>
      <c r="F23" s="18"/>
      <c r="G23" s="19"/>
    </row>
    <row r="24" spans="2:7" ht="17.25">
      <c r="B24" s="15">
        <v>17</v>
      </c>
      <c r="C24" s="20"/>
      <c r="D24" s="17"/>
      <c r="E24" s="17"/>
      <c r="F24" s="18"/>
      <c r="G24" s="19"/>
    </row>
    <row r="25" spans="2:7" ht="17.25">
      <c r="B25" s="15">
        <v>18</v>
      </c>
      <c r="C25" s="20"/>
      <c r="D25" s="17"/>
      <c r="E25" s="17"/>
      <c r="F25" s="18"/>
      <c r="G25" s="19"/>
    </row>
    <row r="26" spans="2:7" ht="17.25">
      <c r="B26" s="15">
        <v>19</v>
      </c>
      <c r="C26" s="20"/>
      <c r="D26" s="17"/>
      <c r="E26" s="17"/>
      <c r="F26" s="18"/>
      <c r="G26" s="19"/>
    </row>
    <row r="27" spans="2:7" ht="17.25">
      <c r="B27" s="15">
        <v>20</v>
      </c>
      <c r="C27" s="20"/>
      <c r="D27" s="17"/>
      <c r="E27" s="17"/>
      <c r="F27" s="18"/>
      <c r="G27" s="19"/>
    </row>
    <row r="28" spans="2:7" ht="17.25">
      <c r="B28" s="15">
        <v>21</v>
      </c>
      <c r="C28" s="20"/>
      <c r="D28" s="17"/>
      <c r="E28" s="17"/>
      <c r="F28" s="18"/>
      <c r="G28" s="19"/>
    </row>
    <row r="29" spans="2:7" ht="17.25">
      <c r="B29" s="15">
        <v>22</v>
      </c>
      <c r="C29" s="20"/>
      <c r="D29" s="17"/>
      <c r="E29" s="17"/>
      <c r="F29" s="18"/>
      <c r="G29" s="19"/>
    </row>
    <row r="30" spans="2:7" ht="17.25">
      <c r="B30" s="15">
        <v>23</v>
      </c>
      <c r="C30" s="20"/>
      <c r="D30" s="17"/>
      <c r="E30" s="17"/>
      <c r="F30" s="18"/>
      <c r="G30" s="19"/>
    </row>
    <row r="31" spans="2:7" ht="17.25">
      <c r="B31" s="15">
        <v>24</v>
      </c>
      <c r="C31" s="20"/>
      <c r="D31" s="17"/>
      <c r="E31" s="17"/>
      <c r="F31" s="18"/>
      <c r="G31" s="19"/>
    </row>
    <row r="32" spans="2:7" ht="17.25">
      <c r="B32" s="15">
        <v>25</v>
      </c>
      <c r="C32" s="20"/>
      <c r="D32" s="17"/>
      <c r="E32" s="17"/>
      <c r="F32" s="18"/>
      <c r="G32" s="19"/>
    </row>
    <row r="33" spans="2:7" ht="17.25">
      <c r="B33" s="15">
        <v>26</v>
      </c>
      <c r="C33" s="20"/>
      <c r="D33" s="17"/>
      <c r="E33" s="17"/>
      <c r="F33" s="18"/>
      <c r="G33" s="19"/>
    </row>
    <row r="34" spans="2:7" ht="17.25">
      <c r="B34" s="15">
        <v>27</v>
      </c>
      <c r="C34" s="20"/>
      <c r="D34" s="17"/>
      <c r="E34" s="17"/>
      <c r="F34" s="18"/>
      <c r="G34" s="19"/>
    </row>
    <row r="35" spans="2:7" ht="17.25">
      <c r="B35" s="15">
        <v>28</v>
      </c>
      <c r="C35" s="20"/>
      <c r="D35" s="17"/>
      <c r="E35" s="17"/>
      <c r="F35" s="18"/>
      <c r="G35" s="19"/>
    </row>
    <row r="36" spans="2:7" ht="17.25">
      <c r="B36" s="15">
        <v>29</v>
      </c>
      <c r="C36" s="20"/>
      <c r="D36" s="17"/>
      <c r="E36" s="17"/>
      <c r="F36" s="18"/>
      <c r="G36" s="19"/>
    </row>
    <row r="37" spans="2:7" ht="17.25">
      <c r="B37" s="15">
        <v>30</v>
      </c>
      <c r="C37" s="20"/>
      <c r="D37" s="17"/>
      <c r="E37" s="17"/>
      <c r="F37" s="18"/>
      <c r="G37" s="19"/>
    </row>
    <row r="38" spans="2:7" ht="17.25">
      <c r="B38" s="15">
        <v>31</v>
      </c>
      <c r="C38" s="20"/>
      <c r="D38" s="17"/>
      <c r="E38" s="17"/>
      <c r="F38" s="18"/>
      <c r="G38" s="19"/>
    </row>
    <row r="39" spans="2:7" ht="17.25">
      <c r="B39" s="15">
        <v>32</v>
      </c>
      <c r="C39" s="20"/>
      <c r="D39" s="17"/>
      <c r="E39" s="17"/>
      <c r="F39" s="18"/>
      <c r="G39" s="19"/>
    </row>
    <row r="40" spans="2:7" ht="17.25">
      <c r="B40" s="15">
        <v>33</v>
      </c>
      <c r="C40" s="20"/>
      <c r="D40" s="17"/>
      <c r="E40" s="17"/>
      <c r="F40" s="18"/>
      <c r="G40" s="19"/>
    </row>
    <row r="41" spans="2:7" ht="17.25">
      <c r="B41" s="15">
        <v>34</v>
      </c>
      <c r="C41" s="20"/>
      <c r="D41" s="17"/>
      <c r="E41" s="17"/>
      <c r="F41" s="18"/>
      <c r="G41" s="19"/>
    </row>
    <row r="42" spans="2:7" ht="17.25">
      <c r="B42" s="15">
        <v>35</v>
      </c>
      <c r="C42" s="20"/>
      <c r="D42" s="17"/>
      <c r="E42" s="17"/>
      <c r="F42" s="18"/>
      <c r="G42" s="19"/>
    </row>
    <row r="43" spans="2:7" ht="17.25">
      <c r="B43" s="15">
        <v>36</v>
      </c>
      <c r="C43" s="20"/>
      <c r="D43" s="17"/>
      <c r="E43" s="17"/>
      <c r="F43" s="18"/>
      <c r="G43" s="19"/>
    </row>
    <row r="44" spans="2:7" ht="17.25">
      <c r="B44" s="15">
        <v>37</v>
      </c>
      <c r="C44" s="20"/>
      <c r="D44" s="17"/>
      <c r="E44" s="17"/>
      <c r="F44" s="18"/>
      <c r="G44" s="19"/>
    </row>
    <row r="45" spans="2:7" ht="17.25">
      <c r="B45" s="15">
        <v>38</v>
      </c>
      <c r="C45" s="21"/>
      <c r="D45" s="17"/>
      <c r="E45" s="17"/>
      <c r="F45" s="18"/>
      <c r="G45" s="19"/>
    </row>
    <row r="46" spans="2:7" ht="17.25">
      <c r="B46" s="15">
        <v>39</v>
      </c>
      <c r="C46" s="21"/>
      <c r="D46" s="17"/>
      <c r="E46" s="17"/>
      <c r="F46" s="18"/>
      <c r="G46" s="19"/>
    </row>
    <row r="47" spans="2:7" ht="17.25">
      <c r="B47" s="15">
        <v>40</v>
      </c>
      <c r="C47" s="21"/>
      <c r="D47" s="17"/>
      <c r="E47" s="17"/>
      <c r="F47" s="18"/>
      <c r="G47" s="19"/>
    </row>
    <row r="57" spans="1:2" ht="17.25">
      <c r="A57" s="49"/>
      <c r="B57" s="49"/>
    </row>
    <row r="58" spans="1:2" ht="17.25">
      <c r="A58" s="49"/>
      <c r="B58" s="49"/>
    </row>
    <row r="59" spans="1:2" ht="17.25">
      <c r="A59" s="49"/>
      <c r="B59" s="49"/>
    </row>
    <row r="60" spans="1:2" ht="17.25">
      <c r="A60" s="49"/>
      <c r="B60" s="49"/>
    </row>
    <row r="61" spans="1:2" ht="17.25">
      <c r="A61" s="49"/>
      <c r="B61" s="49"/>
    </row>
    <row r="62" spans="1:2" ht="17.25">
      <c r="A62" s="49"/>
      <c r="B62" s="49"/>
    </row>
    <row r="63" spans="1:2" ht="17.25">
      <c r="A63" s="49"/>
      <c r="B63" s="49"/>
    </row>
    <row r="64" spans="1:2" ht="17.25">
      <c r="A64" s="49"/>
      <c r="B64" s="49"/>
    </row>
    <row r="65" spans="1:2" ht="17.25">
      <c r="A65" s="49"/>
      <c r="B65" s="49"/>
    </row>
    <row r="66" spans="1:2" ht="17.25">
      <c r="A66" s="49"/>
      <c r="B66" s="49"/>
    </row>
    <row r="67" spans="1:2" ht="17.25">
      <c r="A67" s="49"/>
      <c r="B67" s="49"/>
    </row>
    <row r="68" spans="1:2" ht="17.25">
      <c r="A68" s="49"/>
      <c r="B68" s="49"/>
    </row>
    <row r="69" spans="1:2" ht="17.25">
      <c r="A69" s="49"/>
      <c r="B69" s="49"/>
    </row>
    <row r="70" spans="1:2" ht="17.25">
      <c r="A70" s="49"/>
      <c r="B70" s="49"/>
    </row>
    <row r="71" spans="1:2" ht="17.25">
      <c r="A71" s="49"/>
      <c r="B71" s="49"/>
    </row>
    <row r="72" spans="1:2" ht="17.25">
      <c r="A72" s="49"/>
      <c r="B72" s="49"/>
    </row>
    <row r="73" spans="1:2" ht="17.25">
      <c r="A73" s="49"/>
      <c r="B73" s="49"/>
    </row>
    <row r="74" spans="1:2" ht="17.25">
      <c r="A74" s="49"/>
      <c r="B74" s="49"/>
    </row>
    <row r="75" spans="1:2" ht="17.25">
      <c r="A75" s="49"/>
      <c r="B75" s="49"/>
    </row>
    <row r="76" spans="1:2" ht="17.25">
      <c r="A76" s="49"/>
      <c r="B76" s="49"/>
    </row>
    <row r="77" spans="1:2" ht="17.25">
      <c r="A77" s="49"/>
      <c r="B77" s="49"/>
    </row>
    <row r="78" spans="1:2" ht="17.25">
      <c r="A78" s="49"/>
      <c r="B78" s="49"/>
    </row>
    <row r="79" spans="1:2" ht="17.25">
      <c r="A79" s="49"/>
      <c r="B79" s="49"/>
    </row>
    <row r="80" spans="1:2" ht="17.25">
      <c r="A80" s="49"/>
      <c r="B80" s="49"/>
    </row>
    <row r="81" spans="1:2" ht="17.25">
      <c r="A81" s="49"/>
      <c r="B81" s="49"/>
    </row>
    <row r="82" spans="1:2" ht="17.25">
      <c r="A82" s="49"/>
      <c r="B82" s="49"/>
    </row>
    <row r="83" spans="1:2" ht="17.25">
      <c r="A83" s="49"/>
      <c r="B83" s="49"/>
    </row>
    <row r="84" spans="1:2" ht="17.25">
      <c r="A84" s="49"/>
      <c r="B84" s="49"/>
    </row>
    <row r="85" spans="1:2" ht="17.25">
      <c r="A85" s="49"/>
      <c r="B85" s="49"/>
    </row>
    <row r="86" spans="1:2" ht="17.25">
      <c r="A86" s="49"/>
      <c r="B86" s="49"/>
    </row>
    <row r="87" spans="1:2" ht="17.25">
      <c r="A87" s="49"/>
      <c r="B87" s="49"/>
    </row>
    <row r="88" spans="1:2" ht="17.25">
      <c r="A88" s="49"/>
      <c r="B88" s="49"/>
    </row>
    <row r="89" spans="1:2" ht="17.25">
      <c r="A89" s="49"/>
      <c r="B89" s="49"/>
    </row>
    <row r="90" spans="1:2" ht="17.25">
      <c r="A90" s="49"/>
      <c r="B90" s="49"/>
    </row>
    <row r="91" spans="1:2" ht="17.25">
      <c r="A91" s="49"/>
      <c r="B91" s="49"/>
    </row>
    <row r="92" spans="1:2" ht="17.25">
      <c r="A92" s="49"/>
      <c r="B92" s="49"/>
    </row>
    <row r="93" spans="1:2" ht="17.25">
      <c r="A93" s="49"/>
      <c r="B93" s="49"/>
    </row>
    <row r="94" spans="1:2" ht="17.25">
      <c r="A94" s="49"/>
      <c r="B94" s="49"/>
    </row>
    <row r="95" spans="1:2" ht="17.25">
      <c r="A95" s="49"/>
      <c r="B95" s="49"/>
    </row>
    <row r="96" spans="1:2" ht="17.25">
      <c r="A96" s="49"/>
      <c r="B96" s="49"/>
    </row>
    <row r="97" spans="1:2" ht="17.25">
      <c r="A97" s="49"/>
      <c r="B97" s="49"/>
    </row>
    <row r="98" spans="1:2" ht="17.25">
      <c r="A98" s="49"/>
      <c r="B98" s="49"/>
    </row>
    <row r="99" spans="1:2" ht="17.25">
      <c r="A99" s="49"/>
      <c r="B99" s="49"/>
    </row>
    <row r="100" spans="1:2" ht="17.25">
      <c r="A100" s="49"/>
      <c r="B100" s="49"/>
    </row>
    <row r="101" spans="1:2" ht="17.25">
      <c r="A101" s="49"/>
      <c r="B101" s="49"/>
    </row>
    <row r="102" spans="1:2" ht="17.25">
      <c r="A102" s="49"/>
      <c r="B102" s="49"/>
    </row>
    <row r="103" spans="1:2" ht="17.25">
      <c r="A103" s="49"/>
      <c r="B103" s="49"/>
    </row>
    <row r="104" spans="1:2" ht="17.25">
      <c r="A104" s="49"/>
      <c r="B104" s="49"/>
    </row>
    <row r="105" spans="1:2" ht="17.25">
      <c r="A105" s="49"/>
      <c r="B105" s="49"/>
    </row>
    <row r="106" spans="1:2" ht="17.25">
      <c r="A106" s="49"/>
      <c r="B106" s="49"/>
    </row>
    <row r="107" spans="1:2" ht="17.25">
      <c r="A107" s="49"/>
      <c r="B107" s="49"/>
    </row>
    <row r="108" spans="1:2" ht="17.25">
      <c r="A108" s="49"/>
      <c r="B108" s="49"/>
    </row>
    <row r="109" spans="1:2" ht="17.25">
      <c r="A109" s="49"/>
      <c r="B109" s="49"/>
    </row>
    <row r="110" spans="1:2" ht="17.25">
      <c r="A110" s="49"/>
      <c r="B110" s="49"/>
    </row>
    <row r="111" spans="1:2" ht="17.25">
      <c r="A111" s="49"/>
      <c r="B111" s="49"/>
    </row>
    <row r="112" spans="1:2" ht="17.25">
      <c r="A112" s="49"/>
      <c r="B112" s="49"/>
    </row>
    <row r="113" spans="1:2" ht="17.25">
      <c r="A113" s="49"/>
      <c r="B113" s="49"/>
    </row>
    <row r="114" spans="1:2" ht="17.25">
      <c r="A114" s="49"/>
      <c r="B114" s="49"/>
    </row>
    <row r="115" spans="1:2" ht="17.25">
      <c r="A115" s="49"/>
      <c r="B115" s="49"/>
    </row>
    <row r="116" spans="1:2" ht="17.25">
      <c r="A116" s="49"/>
      <c r="B116" s="49"/>
    </row>
    <row r="117" spans="1:2" ht="17.25">
      <c r="A117" s="49"/>
      <c r="B117" s="49"/>
    </row>
    <row r="118" spans="1:2" ht="17.25">
      <c r="A118" s="49"/>
      <c r="B118" s="49"/>
    </row>
    <row r="119" spans="1:2" ht="17.25">
      <c r="A119" s="49"/>
      <c r="B119" s="49"/>
    </row>
    <row r="120" spans="1:2" ht="17.25">
      <c r="A120" s="49"/>
      <c r="B120" s="49"/>
    </row>
    <row r="121" spans="1:2" ht="17.25">
      <c r="A121" s="49"/>
      <c r="B121" s="49"/>
    </row>
    <row r="122" spans="1:2" ht="17.25">
      <c r="A122" s="49"/>
      <c r="B122" s="49"/>
    </row>
    <row r="123" spans="1:2" ht="17.25">
      <c r="A123" s="49"/>
      <c r="B123" s="49"/>
    </row>
    <row r="124" spans="1:2" ht="17.25">
      <c r="A124" s="49"/>
      <c r="B124" s="49"/>
    </row>
    <row r="125" spans="1:2" ht="17.25">
      <c r="A125" s="49"/>
      <c r="B125" s="49"/>
    </row>
    <row r="126" spans="1:2" ht="17.25">
      <c r="A126" s="49"/>
      <c r="B126" s="49"/>
    </row>
    <row r="127" spans="1:2" ht="17.25">
      <c r="A127" s="49"/>
      <c r="B127" s="49"/>
    </row>
    <row r="128" spans="1:2" ht="17.25">
      <c r="A128" s="49"/>
      <c r="B128" s="49"/>
    </row>
    <row r="129" spans="1:2" ht="17.25">
      <c r="A129" s="49"/>
      <c r="B129" s="49"/>
    </row>
    <row r="130" spans="1:2" ht="17.25">
      <c r="A130" s="49"/>
      <c r="B130" s="49"/>
    </row>
    <row r="131" spans="1:2" ht="17.25">
      <c r="A131" s="49"/>
      <c r="B131" s="49"/>
    </row>
    <row r="132" spans="1:2" ht="17.25">
      <c r="A132" s="49"/>
      <c r="B132" s="49"/>
    </row>
    <row r="133" spans="1:2" ht="17.25">
      <c r="A133" s="49"/>
      <c r="B133" s="49"/>
    </row>
    <row r="134" spans="1:2" ht="17.25">
      <c r="A134" s="49"/>
      <c r="B134" s="49"/>
    </row>
    <row r="135" spans="1:2" ht="17.25">
      <c r="A135" s="49"/>
      <c r="B135" s="49"/>
    </row>
    <row r="136" spans="1:2" ht="17.25">
      <c r="A136" s="49"/>
      <c r="B136" s="49"/>
    </row>
    <row r="137" spans="1:2" ht="17.25">
      <c r="A137" s="49"/>
      <c r="B137" s="49"/>
    </row>
    <row r="138" spans="1:2" ht="17.25">
      <c r="A138" s="49"/>
      <c r="B138" s="49"/>
    </row>
    <row r="139" spans="1:2" ht="17.25">
      <c r="A139" s="49"/>
      <c r="B139" s="49"/>
    </row>
    <row r="140" spans="1:2" ht="17.25">
      <c r="A140" s="49"/>
      <c r="B140" s="49"/>
    </row>
    <row r="141" spans="1:2" ht="17.25">
      <c r="A141" s="49"/>
      <c r="B141" s="49"/>
    </row>
    <row r="142" spans="1:2" ht="17.25">
      <c r="A142" s="49"/>
      <c r="B142" s="49"/>
    </row>
    <row r="143" spans="1:2" ht="17.25">
      <c r="A143" s="49"/>
      <c r="B143" s="49"/>
    </row>
    <row r="144" spans="1:2" ht="17.25">
      <c r="A144" s="49"/>
      <c r="B144" s="49"/>
    </row>
    <row r="145" spans="1:2" ht="17.25">
      <c r="A145" s="49"/>
      <c r="B145" s="49"/>
    </row>
    <row r="146" spans="1:2" ht="17.25">
      <c r="A146" s="49"/>
      <c r="B146" s="49"/>
    </row>
    <row r="147" spans="1:2" ht="17.25">
      <c r="A147" s="49"/>
      <c r="B147" s="49"/>
    </row>
    <row r="148" spans="1:2" ht="17.25">
      <c r="A148" s="49"/>
      <c r="B148" s="49"/>
    </row>
    <row r="149" spans="1:2" ht="17.25">
      <c r="A149" s="49"/>
      <c r="B149" s="49"/>
    </row>
    <row r="150" spans="1:2" ht="17.25">
      <c r="A150" s="49"/>
      <c r="B150" s="49"/>
    </row>
    <row r="151" spans="1:2" ht="17.25">
      <c r="A151" s="49"/>
      <c r="B151" s="49"/>
    </row>
    <row r="152" spans="1:2" ht="17.25">
      <c r="A152" s="49"/>
      <c r="B152" s="49"/>
    </row>
    <row r="153" spans="1:2" ht="17.25">
      <c r="A153" s="49"/>
      <c r="B153" s="49"/>
    </row>
    <row r="154" spans="1:2" ht="17.25">
      <c r="A154" s="49"/>
      <c r="B154" s="49"/>
    </row>
    <row r="155" spans="1:2" ht="17.25">
      <c r="A155" s="49"/>
      <c r="B155" s="49"/>
    </row>
    <row r="156" spans="1:2" ht="17.25">
      <c r="A156" s="49"/>
      <c r="B156" s="49"/>
    </row>
    <row r="157" spans="1:2" ht="17.25">
      <c r="A157" s="49"/>
      <c r="B157" s="49"/>
    </row>
    <row r="158" spans="1:2" ht="17.25">
      <c r="A158" s="49"/>
      <c r="B158" s="49"/>
    </row>
    <row r="159" spans="1:2" ht="17.25">
      <c r="A159" s="49"/>
      <c r="B159" s="49"/>
    </row>
    <row r="160" spans="1:2" ht="17.25">
      <c r="A160" s="49"/>
      <c r="B160" s="49"/>
    </row>
    <row r="161" spans="1:2" ht="17.25">
      <c r="A161" s="49"/>
      <c r="B161" s="49"/>
    </row>
    <row r="162" spans="1:2" ht="17.25">
      <c r="A162" s="49"/>
      <c r="B162" s="49"/>
    </row>
    <row r="163" spans="1:2" ht="17.25">
      <c r="A163" s="49"/>
      <c r="B163" s="49"/>
    </row>
    <row r="164" spans="1:2" ht="17.25">
      <c r="A164" s="49"/>
      <c r="B164" s="49"/>
    </row>
    <row r="165" spans="1:2" ht="17.25">
      <c r="A165" s="49"/>
      <c r="B165" s="49"/>
    </row>
    <row r="166" spans="1:2" ht="17.25">
      <c r="A166" s="49"/>
      <c r="B166" s="49"/>
    </row>
    <row r="167" spans="1:2" ht="17.25">
      <c r="A167" s="49"/>
      <c r="B167" s="49"/>
    </row>
    <row r="168" spans="1:2" ht="17.25">
      <c r="A168" s="49"/>
      <c r="B168" s="49"/>
    </row>
    <row r="169" spans="1:2" ht="17.25">
      <c r="A169" s="49"/>
      <c r="B169" s="49"/>
    </row>
    <row r="170" spans="1:2" ht="17.25">
      <c r="A170" s="49"/>
      <c r="B170" s="49"/>
    </row>
    <row r="171" spans="1:2" ht="17.25">
      <c r="A171" s="49"/>
      <c r="B171" s="49"/>
    </row>
    <row r="172" spans="1:2" ht="17.25">
      <c r="A172" s="49"/>
      <c r="B172" s="49"/>
    </row>
    <row r="173" spans="1:2" ht="17.25">
      <c r="A173" s="49"/>
      <c r="B173" s="49"/>
    </row>
    <row r="174" spans="1:2" ht="17.25">
      <c r="A174" s="49"/>
      <c r="B174" s="49"/>
    </row>
    <row r="175" spans="1:2" ht="17.25">
      <c r="A175" s="49"/>
      <c r="B175" s="49"/>
    </row>
    <row r="176" spans="1:2" ht="17.25">
      <c r="A176" s="49"/>
      <c r="B176" s="49"/>
    </row>
    <row r="177" spans="1:2" ht="17.25">
      <c r="A177" s="49"/>
      <c r="B177" s="49"/>
    </row>
    <row r="178" spans="1:2" ht="17.25">
      <c r="A178" s="49"/>
      <c r="B178" s="49"/>
    </row>
    <row r="179" spans="1:2" ht="17.25">
      <c r="A179" s="49"/>
      <c r="B179" s="49"/>
    </row>
    <row r="180" spans="1:2" ht="17.25">
      <c r="A180" s="49"/>
      <c r="B180" s="49"/>
    </row>
    <row r="181" spans="1:2" ht="17.25">
      <c r="A181" s="49"/>
      <c r="B181" s="49"/>
    </row>
    <row r="182" spans="1:2" ht="17.25">
      <c r="A182" s="49"/>
      <c r="B182" s="49"/>
    </row>
    <row r="183" spans="1:2" ht="17.25">
      <c r="A183" s="49"/>
      <c r="B183" s="49"/>
    </row>
    <row r="184" spans="1:2" ht="17.25">
      <c r="A184" s="49"/>
      <c r="B184" s="49"/>
    </row>
    <row r="185" spans="1:2" ht="17.25">
      <c r="A185" s="49"/>
      <c r="B185" s="49"/>
    </row>
    <row r="186" spans="1:2" ht="17.25">
      <c r="A186" s="49"/>
      <c r="B186" s="49"/>
    </row>
    <row r="187" spans="1:2" ht="17.25">
      <c r="A187" s="49"/>
      <c r="B187" s="49"/>
    </row>
    <row r="188" spans="1:2" ht="17.25">
      <c r="A188" s="49"/>
      <c r="B188" s="49"/>
    </row>
    <row r="189" spans="1:2" ht="17.25">
      <c r="A189" s="49"/>
      <c r="B189" s="49"/>
    </row>
    <row r="190" spans="1:2" ht="17.25">
      <c r="A190" s="49"/>
      <c r="B190" s="49"/>
    </row>
    <row r="191" spans="1:2" ht="17.25">
      <c r="A191" s="49"/>
      <c r="B191" s="49"/>
    </row>
    <row r="192" spans="1:2" ht="17.25">
      <c r="A192" s="49"/>
      <c r="B192" s="49"/>
    </row>
    <row r="193" spans="1:2" ht="17.25">
      <c r="A193" s="49"/>
      <c r="B193" s="49"/>
    </row>
    <row r="194" spans="1:2" ht="17.25">
      <c r="A194" s="49"/>
      <c r="B194" s="49"/>
    </row>
    <row r="195" spans="1:2" ht="17.25">
      <c r="A195" s="49"/>
      <c r="B195" s="49"/>
    </row>
    <row r="196" spans="1:2" ht="17.25">
      <c r="A196" s="49"/>
      <c r="B196" s="49"/>
    </row>
    <row r="197" spans="1:2" ht="17.25">
      <c r="A197" s="49"/>
      <c r="B197" s="49"/>
    </row>
  </sheetData>
  <mergeCells count="147">
    <mergeCell ref="A196:B196"/>
    <mergeCell ref="A197:B197"/>
    <mergeCell ref="B3:G3"/>
    <mergeCell ref="B4:G4"/>
    <mergeCell ref="A193:B193"/>
    <mergeCell ref="A194:B194"/>
    <mergeCell ref="A195:B195"/>
    <mergeCell ref="A190:B190"/>
    <mergeCell ref="A191:B191"/>
    <mergeCell ref="A192:B192"/>
    <mergeCell ref="A187:B187"/>
    <mergeCell ref="A188:B188"/>
    <mergeCell ref="A189:B189"/>
    <mergeCell ref="A184:B184"/>
    <mergeCell ref="A185:B185"/>
    <mergeCell ref="A186:B186"/>
    <mergeCell ref="A181:B181"/>
    <mergeCell ref="A182:B182"/>
    <mergeCell ref="A183:B183"/>
    <mergeCell ref="A178:B178"/>
    <mergeCell ref="A179:B179"/>
    <mergeCell ref="A180:B180"/>
    <mergeCell ref="A175:B175"/>
    <mergeCell ref="A176:B176"/>
    <mergeCell ref="A177:B177"/>
    <mergeCell ref="A172:B172"/>
    <mergeCell ref="A173:B173"/>
    <mergeCell ref="A174:B174"/>
    <mergeCell ref="A169:B169"/>
    <mergeCell ref="A170:B170"/>
    <mergeCell ref="A171:B171"/>
    <mergeCell ref="A166:B166"/>
    <mergeCell ref="A167:B167"/>
    <mergeCell ref="A168:B168"/>
    <mergeCell ref="A163:B163"/>
    <mergeCell ref="A164:B164"/>
    <mergeCell ref="A165:B165"/>
    <mergeCell ref="A160:B160"/>
    <mergeCell ref="A161:B161"/>
    <mergeCell ref="A162:B162"/>
    <mergeCell ref="A157:B157"/>
    <mergeCell ref="A158:B158"/>
    <mergeCell ref="A159:B159"/>
    <mergeCell ref="A154:B154"/>
    <mergeCell ref="A155:B155"/>
    <mergeCell ref="A156:B156"/>
    <mergeCell ref="A151:B151"/>
    <mergeCell ref="A152:B152"/>
    <mergeCell ref="A153:B153"/>
    <mergeCell ref="A148:B148"/>
    <mergeCell ref="A149:B149"/>
    <mergeCell ref="A150:B150"/>
    <mergeCell ref="A145:B145"/>
    <mergeCell ref="A146:B146"/>
    <mergeCell ref="A147:B147"/>
    <mergeCell ref="A142:B142"/>
    <mergeCell ref="A143:B143"/>
    <mergeCell ref="A144:B144"/>
    <mergeCell ref="A139:B139"/>
    <mergeCell ref="A140:B140"/>
    <mergeCell ref="A141:B141"/>
    <mergeCell ref="A136:B136"/>
    <mergeCell ref="A137:B137"/>
    <mergeCell ref="A138:B138"/>
    <mergeCell ref="A133:B133"/>
    <mergeCell ref="A134:B134"/>
    <mergeCell ref="A135:B135"/>
    <mergeCell ref="A130:B130"/>
    <mergeCell ref="A131:B131"/>
    <mergeCell ref="A132:B132"/>
    <mergeCell ref="A127:B127"/>
    <mergeCell ref="A128:B128"/>
    <mergeCell ref="A129:B129"/>
    <mergeCell ref="A124:B124"/>
    <mergeCell ref="A125:B125"/>
    <mergeCell ref="A126:B126"/>
    <mergeCell ref="A121:B121"/>
    <mergeCell ref="A122:B122"/>
    <mergeCell ref="A123:B123"/>
    <mergeCell ref="A118:B118"/>
    <mergeCell ref="A119:B119"/>
    <mergeCell ref="A120:B120"/>
    <mergeCell ref="A115:B115"/>
    <mergeCell ref="A116:B116"/>
    <mergeCell ref="A117:B117"/>
    <mergeCell ref="A112:B112"/>
    <mergeCell ref="A113:B113"/>
    <mergeCell ref="A114:B114"/>
    <mergeCell ref="A109:B109"/>
    <mergeCell ref="A110:B110"/>
    <mergeCell ref="A111:B111"/>
    <mergeCell ref="A106:B106"/>
    <mergeCell ref="A107:B107"/>
    <mergeCell ref="A108:B108"/>
    <mergeCell ref="A103:B103"/>
    <mergeCell ref="A104:B104"/>
    <mergeCell ref="A105:B105"/>
    <mergeCell ref="A100:B100"/>
    <mergeCell ref="A101:B101"/>
    <mergeCell ref="A102:B102"/>
    <mergeCell ref="A97:B97"/>
    <mergeCell ref="A98:B98"/>
    <mergeCell ref="A99:B99"/>
    <mergeCell ref="A94:B94"/>
    <mergeCell ref="A95:B95"/>
    <mergeCell ref="A96:B96"/>
    <mergeCell ref="A91:B91"/>
    <mergeCell ref="A92:B92"/>
    <mergeCell ref="A93:B93"/>
    <mergeCell ref="A88:B88"/>
    <mergeCell ref="A89:B89"/>
    <mergeCell ref="A90:B90"/>
    <mergeCell ref="A85:B85"/>
    <mergeCell ref="A86:B86"/>
    <mergeCell ref="A87:B87"/>
    <mergeCell ref="A82:B82"/>
    <mergeCell ref="A83:B83"/>
    <mergeCell ref="A84:B84"/>
    <mergeCell ref="A79:B79"/>
    <mergeCell ref="A80:B80"/>
    <mergeCell ref="A81:B81"/>
    <mergeCell ref="A76:B76"/>
    <mergeCell ref="A77:B77"/>
    <mergeCell ref="A78:B78"/>
    <mergeCell ref="A73:B73"/>
    <mergeCell ref="A74:B74"/>
    <mergeCell ref="A75:B75"/>
    <mergeCell ref="A70:B70"/>
    <mergeCell ref="A71:B71"/>
    <mergeCell ref="A72:B72"/>
    <mergeCell ref="A67:B67"/>
    <mergeCell ref="A68:B68"/>
    <mergeCell ref="A69:B69"/>
    <mergeCell ref="A57:B57"/>
    <mergeCell ref="A1:B1"/>
    <mergeCell ref="A5:B5"/>
    <mergeCell ref="B6:G6"/>
    <mergeCell ref="B2:G2"/>
    <mergeCell ref="A64:B64"/>
    <mergeCell ref="A65:B65"/>
    <mergeCell ref="A66:B66"/>
    <mergeCell ref="A61:B61"/>
    <mergeCell ref="A62:B62"/>
    <mergeCell ref="A63:B63"/>
    <mergeCell ref="A58:B58"/>
    <mergeCell ref="A59:B59"/>
    <mergeCell ref="A60:B60"/>
  </mergeCells>
  <hyperlinks>
    <hyperlink ref="H4" r:id="rId1" xr:uid="{45EB914D-0A15-455D-9D63-DC6A78F11C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6FD8-11B4-4A1D-9A50-8B559E270930}">
  <sheetPr codeName="Sheet2">
    <tabColor theme="6" tint="0.89999084444715716"/>
  </sheetPr>
  <dimension ref="A1:U39"/>
  <sheetViews>
    <sheetView showGridLines="0" tabSelected="1" zoomScale="85" zoomScaleNormal="85" workbookViewId="0">
      <selection activeCell="C31" sqref="C31"/>
    </sheetView>
    <sheetView showGridLines="0" tabSelected="1" topLeftCell="A19" workbookViewId="1">
      <selection activeCell="C44" sqref="C44"/>
    </sheetView>
  </sheetViews>
  <sheetFormatPr baseColWidth="10" defaultColWidth="11.42578125" defaultRowHeight="15" customHeight="1"/>
  <cols>
    <col min="1" max="1" width="8.42578125" style="6" customWidth="1"/>
    <col min="2" max="2" width="61.7109375" style="6" customWidth="1"/>
    <col min="3" max="8" width="28.5703125" style="6" customWidth="1"/>
    <col min="9" max="9" width="4" style="6" customWidth="1"/>
    <col min="10" max="15" width="7.140625" style="6" customWidth="1"/>
    <col min="16" max="16" width="8.85546875" style="6" customWidth="1"/>
    <col min="17" max="17" width="6.85546875" style="6" bestFit="1" customWidth="1"/>
    <col min="18" max="18" width="61.85546875" style="6" customWidth="1"/>
    <col min="19" max="19" width="17" style="6" customWidth="1"/>
    <col min="20" max="20" width="8.28515625" style="6" bestFit="1" customWidth="1"/>
    <col min="21" max="24" width="8.85546875" style="6" customWidth="1"/>
    <col min="25" max="16379" width="11.42578125" style="6"/>
    <col min="16380" max="16380" width="6.28515625" style="6" customWidth="1"/>
    <col min="16381" max="16381" width="6" style="6" customWidth="1"/>
    <col min="16382" max="16384" width="11.28515625" style="6" customWidth="1"/>
  </cols>
  <sheetData>
    <row r="1" spans="1:21">
      <c r="B1" s="1"/>
      <c r="C1" s="7"/>
      <c r="D1" s="3"/>
      <c r="E1" s="4"/>
      <c r="F1" s="2"/>
      <c r="G1" s="5"/>
      <c r="H1" s="2"/>
      <c r="I1" s="2"/>
      <c r="J1" s="2"/>
      <c r="L1" s="2"/>
      <c r="M1" s="2"/>
      <c r="N1" s="2"/>
    </row>
    <row r="2" spans="1:21">
      <c r="B2" s="3"/>
      <c r="C2" s="7"/>
      <c r="D2" s="3"/>
      <c r="E2" s="4"/>
      <c r="G2" s="2"/>
      <c r="H2" s="2"/>
      <c r="I2" s="2"/>
      <c r="J2" s="2"/>
    </row>
    <row r="3" spans="1:21">
      <c r="B3" s="3"/>
      <c r="C3" s="7"/>
      <c r="D3" s="3"/>
      <c r="E3" s="4"/>
      <c r="G3" s="2"/>
      <c r="H3" s="2"/>
      <c r="I3" s="2"/>
      <c r="J3" s="2"/>
    </row>
    <row r="4" spans="1:21">
      <c r="B4" s="2"/>
      <c r="C4" s="7"/>
      <c r="D4" s="3"/>
      <c r="E4" s="4"/>
      <c r="G4" s="2"/>
      <c r="H4" s="2"/>
      <c r="I4" s="2"/>
      <c r="J4" s="2"/>
    </row>
    <row r="5" spans="1:21">
      <c r="B5" s="3"/>
      <c r="C5" s="8"/>
      <c r="D5" s="2"/>
      <c r="E5" s="9"/>
      <c r="G5" s="2"/>
      <c r="H5" s="2"/>
      <c r="I5" s="2"/>
      <c r="J5" s="2"/>
    </row>
    <row r="6" spans="1:21" s="11" customFormat="1">
      <c r="B6" s="10" t="s">
        <v>0</v>
      </c>
      <c r="C6" s="10" t="s">
        <v>35</v>
      </c>
      <c r="D6" s="10"/>
      <c r="E6" s="10"/>
      <c r="F6" s="10"/>
      <c r="G6" s="10"/>
      <c r="H6" s="10"/>
      <c r="I6" s="10"/>
      <c r="J6" s="10"/>
    </row>
    <row r="7" spans="1:21" ht="17.100000000000001" customHeight="1" thickBot="1">
      <c r="C7" s="69" t="s">
        <v>1</v>
      </c>
      <c r="D7" s="69" t="s">
        <v>1</v>
      </c>
      <c r="E7" s="69" t="s">
        <v>1</v>
      </c>
      <c r="F7" s="69" t="s">
        <v>1</v>
      </c>
      <c r="G7" s="69" t="s">
        <v>1</v>
      </c>
      <c r="H7" s="69" t="s">
        <v>2</v>
      </c>
      <c r="J7" s="6" t="s">
        <v>3</v>
      </c>
    </row>
    <row r="8" spans="1:21" s="12" customFormat="1" ht="18.75" customHeight="1">
      <c r="A8" s="6"/>
      <c r="B8" s="88" t="s">
        <v>50</v>
      </c>
      <c r="C8" s="107" t="s">
        <v>4</v>
      </c>
      <c r="D8" s="107" t="s">
        <v>5</v>
      </c>
      <c r="E8" s="107" t="s">
        <v>6</v>
      </c>
      <c r="F8" s="107" t="s">
        <v>7</v>
      </c>
      <c r="G8" s="107" t="s">
        <v>8</v>
      </c>
      <c r="H8" s="108" t="s">
        <v>9</v>
      </c>
      <c r="I8" s="62"/>
      <c r="J8" s="63">
        <v>2027</v>
      </c>
      <c r="K8" s="63">
        <v>2028</v>
      </c>
      <c r="L8" s="63">
        <v>2029</v>
      </c>
      <c r="M8" s="63">
        <v>2030</v>
      </c>
      <c r="N8" s="63">
        <v>2031</v>
      </c>
      <c r="O8" s="63">
        <v>2032</v>
      </c>
      <c r="P8" s="62"/>
      <c r="Q8" s="64"/>
      <c r="R8" s="64"/>
      <c r="S8" s="64"/>
      <c r="T8" s="64"/>
      <c r="U8" s="6"/>
    </row>
    <row r="9" spans="1:21" s="12" customFormat="1" ht="18.75" customHeight="1" thickBot="1">
      <c r="A9" s="6"/>
      <c r="B9" s="100" t="s">
        <v>52</v>
      </c>
      <c r="C9" s="70" t="s">
        <v>11</v>
      </c>
      <c r="D9" s="70" t="s">
        <v>11</v>
      </c>
      <c r="E9" s="70" t="s">
        <v>11</v>
      </c>
      <c r="F9" s="70" t="s">
        <v>11</v>
      </c>
      <c r="G9" s="70" t="s">
        <v>48</v>
      </c>
      <c r="H9" s="109" t="s">
        <v>17</v>
      </c>
      <c r="I9" s="62"/>
      <c r="J9" s="63"/>
      <c r="K9" s="63"/>
      <c r="L9" s="63"/>
      <c r="M9" s="63"/>
      <c r="N9" s="63"/>
      <c r="O9" s="63"/>
      <c r="P9" s="62"/>
      <c r="Q9" s="64"/>
      <c r="R9" s="64"/>
      <c r="S9" s="64"/>
      <c r="T9" s="64"/>
      <c r="U9" s="6"/>
    </row>
    <row r="10" spans="1:21" s="12" customFormat="1" ht="17.25">
      <c r="A10" s="6"/>
      <c r="B10" s="101" t="s">
        <v>10</v>
      </c>
      <c r="C10" s="93">
        <v>123200</v>
      </c>
      <c r="D10" s="71">
        <v>123200</v>
      </c>
      <c r="E10" s="71">
        <v>123200</v>
      </c>
      <c r="F10" s="71">
        <v>123200</v>
      </c>
      <c r="G10" s="71">
        <v>123200</v>
      </c>
      <c r="H10" s="72">
        <v>125600</v>
      </c>
      <c r="I10" s="62"/>
      <c r="J10" s="36">
        <v>1</v>
      </c>
      <c r="K10" s="36">
        <v>0.96699999999999997</v>
      </c>
      <c r="L10" s="36">
        <v>0.96799999999999997</v>
      </c>
      <c r="M10" s="36">
        <v>0.98099999999999998</v>
      </c>
      <c r="N10" s="36">
        <v>1.0069999999999999</v>
      </c>
      <c r="O10" s="36">
        <v>1</v>
      </c>
      <c r="P10" s="62"/>
      <c r="Q10" s="39" t="s">
        <v>27</v>
      </c>
      <c r="R10" s="40"/>
      <c r="S10" s="41" t="s">
        <v>28</v>
      </c>
      <c r="T10" s="42" t="s">
        <v>29</v>
      </c>
      <c r="U10" s="6"/>
    </row>
    <row r="11" spans="1:21">
      <c r="B11" s="102" t="s">
        <v>12</v>
      </c>
      <c r="C11" s="94">
        <v>106100</v>
      </c>
      <c r="D11" s="31">
        <v>106100</v>
      </c>
      <c r="E11" s="31">
        <v>106100</v>
      </c>
      <c r="F11" s="31">
        <v>106100</v>
      </c>
      <c r="G11" s="31">
        <v>106100</v>
      </c>
      <c r="H11" s="73">
        <v>108200</v>
      </c>
      <c r="I11" s="64"/>
      <c r="J11" s="36">
        <v>1.02</v>
      </c>
      <c r="K11" s="36">
        <v>1.04</v>
      </c>
      <c r="L11" s="36">
        <v>1.0609999999999999</v>
      </c>
      <c r="M11" s="36">
        <v>1.0820000000000001</v>
      </c>
      <c r="N11" s="36">
        <v>1.1040000000000001</v>
      </c>
      <c r="O11" s="36">
        <v>1.1259999999999999</v>
      </c>
      <c r="P11" s="64"/>
      <c r="Q11" s="43">
        <v>1</v>
      </c>
      <c r="R11" s="38" t="s">
        <v>31</v>
      </c>
      <c r="S11" s="37" t="s">
        <v>32</v>
      </c>
      <c r="T11" s="44" t="s">
        <v>30</v>
      </c>
    </row>
    <row r="12" spans="1:21" ht="15.75" thickBot="1">
      <c r="B12" s="103" t="s">
        <v>13</v>
      </c>
      <c r="C12" s="94">
        <v>11000</v>
      </c>
      <c r="D12" s="31">
        <v>10000</v>
      </c>
      <c r="E12" s="31">
        <v>11000</v>
      </c>
      <c r="F12" s="31">
        <v>11000</v>
      </c>
      <c r="G12" s="31">
        <v>11000</v>
      </c>
      <c r="H12" s="73">
        <v>10000</v>
      </c>
      <c r="I12" s="64"/>
      <c r="J12" s="36">
        <v>1.02</v>
      </c>
      <c r="K12" s="36">
        <v>1.04</v>
      </c>
      <c r="L12" s="36">
        <v>1.0609999999999999</v>
      </c>
      <c r="M12" s="36">
        <v>1.0820000000000001</v>
      </c>
      <c r="N12" s="36">
        <v>1.1040000000000001</v>
      </c>
      <c r="O12" s="36">
        <v>1.1259999999999999</v>
      </c>
      <c r="P12" s="64"/>
      <c r="Q12" s="45">
        <v>2</v>
      </c>
      <c r="R12" s="46" t="s">
        <v>38</v>
      </c>
      <c r="S12" s="47">
        <v>46300</v>
      </c>
      <c r="T12" s="48" t="s">
        <v>30</v>
      </c>
    </row>
    <row r="13" spans="1:21">
      <c r="B13" s="103" t="s">
        <v>14</v>
      </c>
      <c r="C13" s="94">
        <v>16000</v>
      </c>
      <c r="D13" s="31">
        <v>16000</v>
      </c>
      <c r="E13" s="31">
        <v>16000</v>
      </c>
      <c r="F13" s="31">
        <v>16000</v>
      </c>
      <c r="G13" s="31">
        <v>16000</v>
      </c>
      <c r="H13" s="73">
        <v>16000</v>
      </c>
      <c r="I13" s="64"/>
      <c r="J13" s="36">
        <v>1.02</v>
      </c>
      <c r="K13" s="36">
        <v>1.04</v>
      </c>
      <c r="L13" s="36">
        <v>1.0609999999999999</v>
      </c>
      <c r="M13" s="36">
        <v>1.0820000000000001</v>
      </c>
      <c r="N13" s="36">
        <v>1.1040000000000001</v>
      </c>
      <c r="O13" s="36">
        <v>1.1259999999999999</v>
      </c>
      <c r="P13" s="64"/>
      <c r="Q13" s="64"/>
      <c r="R13" s="64"/>
      <c r="S13" s="64"/>
      <c r="T13" s="64"/>
    </row>
    <row r="14" spans="1:21">
      <c r="B14" s="103" t="s">
        <v>15</v>
      </c>
      <c r="C14" s="95">
        <v>25000</v>
      </c>
      <c r="D14" s="32">
        <v>0</v>
      </c>
      <c r="E14" s="32">
        <v>22000</v>
      </c>
      <c r="F14" s="32">
        <v>25000</v>
      </c>
      <c r="G14" s="32">
        <v>30000</v>
      </c>
      <c r="H14" s="74">
        <v>0</v>
      </c>
      <c r="I14" s="64"/>
      <c r="J14" s="36">
        <v>1.02</v>
      </c>
      <c r="K14" s="36">
        <v>1.04</v>
      </c>
      <c r="L14" s="36">
        <v>1.0609999999999999</v>
      </c>
      <c r="M14" s="36">
        <v>1.0820000000000001</v>
      </c>
      <c r="N14" s="36">
        <v>1.1040000000000001</v>
      </c>
      <c r="O14" s="36">
        <v>1.1259999999999999</v>
      </c>
      <c r="P14" s="64"/>
      <c r="Q14" s="64"/>
      <c r="R14" s="64"/>
      <c r="S14" s="64"/>
      <c r="T14" s="64"/>
    </row>
    <row r="15" spans="1:21">
      <c r="B15" s="103" t="s">
        <v>16</v>
      </c>
      <c r="C15" s="96">
        <v>2000</v>
      </c>
      <c r="D15" s="32">
        <v>10000</v>
      </c>
      <c r="E15" s="33">
        <v>3700</v>
      </c>
      <c r="F15" s="33">
        <v>3900</v>
      </c>
      <c r="G15" s="33">
        <v>4500</v>
      </c>
      <c r="H15" s="75">
        <v>0</v>
      </c>
      <c r="I15" s="64"/>
      <c r="J15" s="36">
        <v>1.02</v>
      </c>
      <c r="K15" s="36">
        <v>1.04</v>
      </c>
      <c r="L15" s="36">
        <v>1.0609999999999999</v>
      </c>
      <c r="M15" s="36">
        <v>1.0820000000000001</v>
      </c>
      <c r="N15" s="36">
        <v>1.1040000000000001</v>
      </c>
      <c r="O15" s="36">
        <v>1.1259999999999999</v>
      </c>
      <c r="P15" s="64"/>
      <c r="Q15" s="64"/>
      <c r="R15" s="64"/>
      <c r="S15" s="64"/>
      <c r="T15" s="64"/>
    </row>
    <row r="16" spans="1:21">
      <c r="B16" s="103" t="s">
        <v>18</v>
      </c>
      <c r="C16" s="95">
        <v>18000</v>
      </c>
      <c r="D16" s="32">
        <v>18000</v>
      </c>
      <c r="E16" s="32">
        <v>18000</v>
      </c>
      <c r="F16" s="32">
        <v>18000</v>
      </c>
      <c r="G16" s="32">
        <v>18000</v>
      </c>
      <c r="H16" s="74">
        <v>13000</v>
      </c>
      <c r="I16" s="64"/>
      <c r="J16" s="36">
        <v>1.02</v>
      </c>
      <c r="K16" s="36">
        <v>1.04</v>
      </c>
      <c r="L16" s="36">
        <v>1.0609999999999999</v>
      </c>
      <c r="M16" s="36">
        <v>1.0820000000000001</v>
      </c>
      <c r="N16" s="36">
        <v>1.1040000000000001</v>
      </c>
      <c r="O16" s="36">
        <v>1.1259999999999999</v>
      </c>
      <c r="P16" s="64"/>
      <c r="Q16" s="64"/>
      <c r="R16" s="64"/>
      <c r="S16" s="64"/>
      <c r="T16" s="64"/>
    </row>
    <row r="17" spans="2:20">
      <c r="B17" s="103" t="s">
        <v>19</v>
      </c>
      <c r="C17" s="94">
        <v>2000</v>
      </c>
      <c r="D17" s="31">
        <v>2000</v>
      </c>
      <c r="E17" s="31">
        <v>2000</v>
      </c>
      <c r="F17" s="31">
        <v>2000</v>
      </c>
      <c r="G17" s="31">
        <v>2000</v>
      </c>
      <c r="H17" s="73">
        <v>2000</v>
      </c>
      <c r="I17" s="64"/>
      <c r="J17" s="36">
        <v>1.02</v>
      </c>
      <c r="K17" s="36">
        <v>1.04</v>
      </c>
      <c r="L17" s="36">
        <v>1.0609999999999999</v>
      </c>
      <c r="M17" s="36">
        <v>1.0820000000000001</v>
      </c>
      <c r="N17" s="36">
        <v>1.1040000000000001</v>
      </c>
      <c r="O17" s="36">
        <v>1.1259999999999999</v>
      </c>
      <c r="P17" s="64"/>
      <c r="Q17" s="64"/>
      <c r="R17" s="64"/>
      <c r="S17" s="64"/>
      <c r="T17" s="64"/>
    </row>
    <row r="18" spans="2:20">
      <c r="B18" s="103" t="s">
        <v>20</v>
      </c>
      <c r="C18" s="96">
        <v>450</v>
      </c>
      <c r="D18" s="33">
        <v>450</v>
      </c>
      <c r="E18" s="33">
        <v>450</v>
      </c>
      <c r="F18" s="33">
        <v>450</v>
      </c>
      <c r="G18" s="33">
        <v>450</v>
      </c>
      <c r="H18" s="75">
        <v>400</v>
      </c>
      <c r="I18" s="64"/>
      <c r="J18" s="36">
        <v>1.02</v>
      </c>
      <c r="K18" s="36">
        <v>1.04</v>
      </c>
      <c r="L18" s="36">
        <v>1.0609999999999999</v>
      </c>
      <c r="M18" s="36">
        <v>1.0820000000000001</v>
      </c>
      <c r="N18" s="36">
        <v>1.1040000000000001</v>
      </c>
      <c r="O18" s="36">
        <v>1.1259999999999999</v>
      </c>
      <c r="P18" s="64"/>
      <c r="Q18" s="64"/>
      <c r="R18" s="64"/>
      <c r="S18" s="64"/>
      <c r="T18" s="64"/>
    </row>
    <row r="19" spans="2:20">
      <c r="B19" s="103" t="s">
        <v>21</v>
      </c>
      <c r="C19" s="96">
        <v>280</v>
      </c>
      <c r="D19" s="33">
        <v>280</v>
      </c>
      <c r="E19" s="33">
        <v>280</v>
      </c>
      <c r="F19" s="33">
        <v>280</v>
      </c>
      <c r="G19" s="33">
        <v>280</v>
      </c>
      <c r="H19" s="75">
        <v>50</v>
      </c>
      <c r="I19" s="64"/>
      <c r="J19" s="36">
        <v>1.02</v>
      </c>
      <c r="K19" s="36">
        <v>1.04</v>
      </c>
      <c r="L19" s="36">
        <v>1.0609999999999999</v>
      </c>
      <c r="M19" s="36">
        <v>1.0820000000000001</v>
      </c>
      <c r="N19" s="36">
        <v>1.1040000000000001</v>
      </c>
      <c r="O19" s="36">
        <v>1.1259999999999999</v>
      </c>
      <c r="P19" s="64"/>
      <c r="Q19" s="64"/>
      <c r="R19" s="64"/>
      <c r="S19" s="64"/>
      <c r="T19" s="64"/>
    </row>
    <row r="20" spans="2:20">
      <c r="B20" s="104" t="s">
        <v>41</v>
      </c>
      <c r="C20" s="97">
        <v>8.9999999999999993E-3</v>
      </c>
      <c r="D20" s="34">
        <v>8.9999999999999993E-3</v>
      </c>
      <c r="E20" s="34">
        <v>8.9999999999999993E-3</v>
      </c>
      <c r="F20" s="34">
        <v>8.9999999999999993E-3</v>
      </c>
      <c r="G20" s="34">
        <v>8.9999999999999993E-3</v>
      </c>
      <c r="H20" s="76">
        <v>8.9999999999999993E-3</v>
      </c>
      <c r="I20" s="64"/>
      <c r="J20" s="36">
        <v>1.02</v>
      </c>
      <c r="K20" s="36">
        <v>1.04</v>
      </c>
      <c r="L20" s="36">
        <v>1.0609999999999999</v>
      </c>
      <c r="M20" s="36">
        <v>1.0820000000000001</v>
      </c>
      <c r="N20" s="36">
        <v>1.1040000000000001</v>
      </c>
      <c r="O20" s="36">
        <v>1.1259999999999999</v>
      </c>
      <c r="P20" s="64"/>
      <c r="Q20" s="64"/>
      <c r="R20" s="64"/>
      <c r="S20" s="64"/>
      <c r="T20" s="64"/>
    </row>
    <row r="21" spans="2:20">
      <c r="B21" s="103" t="s">
        <v>22</v>
      </c>
      <c r="C21" s="95">
        <v>300</v>
      </c>
      <c r="D21" s="32">
        <v>300</v>
      </c>
      <c r="E21" s="33">
        <v>2700</v>
      </c>
      <c r="F21" s="33">
        <v>2900</v>
      </c>
      <c r="G21" s="33">
        <v>3100</v>
      </c>
      <c r="H21" s="75">
        <v>300</v>
      </c>
      <c r="I21" s="64"/>
      <c r="J21" s="36">
        <v>1.02</v>
      </c>
      <c r="K21" s="36">
        <v>1.04</v>
      </c>
      <c r="L21" s="36">
        <v>1.0609999999999999</v>
      </c>
      <c r="M21" s="36">
        <v>1.0820000000000001</v>
      </c>
      <c r="N21" s="36">
        <v>1.1040000000000001</v>
      </c>
      <c r="O21" s="36">
        <v>1.1259999999999999</v>
      </c>
      <c r="P21" s="64"/>
      <c r="Q21" s="64"/>
      <c r="R21" s="64"/>
      <c r="S21" s="64"/>
      <c r="T21" s="64"/>
    </row>
    <row r="22" spans="2:20">
      <c r="B22" s="103" t="s">
        <v>44</v>
      </c>
      <c r="C22" s="94">
        <f>794.13*80^(-0.61)*1000</f>
        <v>54828.543692751693</v>
      </c>
      <c r="D22" s="31">
        <f>794.13*80^(-0.61)*1000</f>
        <v>54828.543692751693</v>
      </c>
      <c r="E22" s="31">
        <f>794.13*80^(-0.61)*1000</f>
        <v>54828.543692751693</v>
      </c>
      <c r="F22" s="31">
        <f>794.13*80^(-0.61)*1000</f>
        <v>54828.543692751693</v>
      </c>
      <c r="G22" s="31">
        <f>794.13*80^(-0.61)*1000</f>
        <v>54828.543692751693</v>
      </c>
      <c r="H22" s="73">
        <f>794.13*80^(-0.61)*1000</f>
        <v>54828.543692751693</v>
      </c>
      <c r="I22" s="64"/>
      <c r="J22" s="36">
        <v>1.02</v>
      </c>
      <c r="K22" s="36">
        <v>1.04</v>
      </c>
      <c r="L22" s="36">
        <v>1.0609999999999999</v>
      </c>
      <c r="M22" s="36">
        <v>1.0820000000000001</v>
      </c>
      <c r="N22" s="36">
        <v>1.1040000000000001</v>
      </c>
      <c r="O22" s="36">
        <v>1.1259999999999999</v>
      </c>
      <c r="P22" s="64"/>
      <c r="Q22" s="64"/>
      <c r="R22" s="64"/>
      <c r="S22" s="64"/>
      <c r="T22" s="64"/>
    </row>
    <row r="23" spans="2:20" ht="17.100000000000001" customHeight="1">
      <c r="B23" s="103" t="s">
        <v>42</v>
      </c>
      <c r="C23" s="94">
        <f>1408*80^(-0.891)*1000</f>
        <v>28375.888986274687</v>
      </c>
      <c r="D23" s="31">
        <f>1408*80^(-0.891)*1000</f>
        <v>28375.888986274687</v>
      </c>
      <c r="E23" s="31">
        <f>1408*80^(-0.891)*1000</f>
        <v>28375.888986274687</v>
      </c>
      <c r="F23" s="31">
        <f>1408*80^(-0.891)*1000</f>
        <v>28375.888986274687</v>
      </c>
      <c r="G23" s="31">
        <f>1408*80^(-0.891)*1000</f>
        <v>28375.888986274687</v>
      </c>
      <c r="H23" s="73">
        <f>1408*80^(-0.891)*1000</f>
        <v>28375.888986274687</v>
      </c>
      <c r="I23" s="64"/>
      <c r="J23" s="36">
        <v>1.02</v>
      </c>
      <c r="K23" s="36">
        <v>1.04</v>
      </c>
      <c r="L23" s="36">
        <v>1.0609999999999999</v>
      </c>
      <c r="M23" s="36">
        <v>1.0820000000000001</v>
      </c>
      <c r="N23" s="36">
        <v>1.1040000000000001</v>
      </c>
      <c r="O23" s="36">
        <v>1.1259999999999999</v>
      </c>
      <c r="P23" s="64"/>
      <c r="Q23" s="64"/>
      <c r="R23" s="64"/>
      <c r="S23" s="64"/>
      <c r="T23" s="64"/>
    </row>
    <row r="24" spans="2:20" ht="17.100000000000001" customHeight="1">
      <c r="B24" s="105" t="s">
        <v>24</v>
      </c>
      <c r="C24" s="98">
        <v>0.05</v>
      </c>
      <c r="D24" s="35">
        <v>0.05</v>
      </c>
      <c r="E24" s="35">
        <v>0.05</v>
      </c>
      <c r="F24" s="35">
        <v>0.05</v>
      </c>
      <c r="G24" s="35">
        <v>0.05</v>
      </c>
      <c r="H24" s="77">
        <v>0.05</v>
      </c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</row>
    <row r="25" spans="2:20" ht="17.100000000000001" customHeight="1" thickBot="1">
      <c r="B25" s="106" t="s">
        <v>25</v>
      </c>
      <c r="C25" s="99">
        <v>7.0000000000000007E-2</v>
      </c>
      <c r="D25" s="78">
        <v>7.0000000000000007E-2</v>
      </c>
      <c r="E25" s="78">
        <v>7.0000000000000007E-2</v>
      </c>
      <c r="F25" s="78">
        <v>7.0000000000000007E-2</v>
      </c>
      <c r="G25" s="78">
        <v>7.0000000000000007E-2</v>
      </c>
      <c r="H25" s="79">
        <v>7.0000000000000007E-2</v>
      </c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</row>
    <row r="26" spans="2:20" ht="17.100000000000001" customHeight="1"/>
    <row r="27" spans="2:20" ht="17.100000000000001" customHeight="1" thickBot="1"/>
    <row r="28" spans="2:20" ht="17.45" customHeight="1">
      <c r="B28" s="88" t="s">
        <v>51</v>
      </c>
    </row>
    <row r="29" spans="2:20" ht="17.45" customHeight="1" thickBot="1">
      <c r="B29" s="89" t="s">
        <v>53</v>
      </c>
    </row>
    <row r="30" spans="2:20" ht="17.100000000000001" customHeight="1">
      <c r="B30" s="90" t="s">
        <v>23</v>
      </c>
      <c r="C30" s="84">
        <v>2</v>
      </c>
      <c r="D30" s="65">
        <v>2</v>
      </c>
      <c r="E30" s="65">
        <v>2</v>
      </c>
      <c r="F30" s="65">
        <v>2</v>
      </c>
      <c r="G30" s="65">
        <v>2</v>
      </c>
      <c r="H30" s="66">
        <v>2</v>
      </c>
      <c r="J30" s="13">
        <v>1.02</v>
      </c>
      <c r="K30" s="13">
        <v>1.04</v>
      </c>
      <c r="L30" s="13">
        <v>1.0609999999999999</v>
      </c>
      <c r="M30" s="13">
        <v>1.0820000000000001</v>
      </c>
      <c r="N30" s="13">
        <v>1.1040000000000001</v>
      </c>
      <c r="O30" s="13">
        <v>1.1259999999999999</v>
      </c>
    </row>
    <row r="31" spans="2:20" ht="17.100000000000001" customHeight="1">
      <c r="B31" s="91" t="s">
        <v>45</v>
      </c>
      <c r="C31" s="85">
        <v>70</v>
      </c>
      <c r="D31" s="29">
        <v>70</v>
      </c>
      <c r="E31" s="29">
        <v>70</v>
      </c>
      <c r="F31" s="29">
        <v>70</v>
      </c>
      <c r="G31" s="29">
        <v>70</v>
      </c>
      <c r="H31" s="67">
        <v>70</v>
      </c>
      <c r="J31" s="13">
        <v>1.02</v>
      </c>
      <c r="K31" s="13">
        <v>1.04</v>
      </c>
      <c r="L31" s="13">
        <v>1.0609999999999999</v>
      </c>
      <c r="M31" s="13">
        <v>1.0820000000000001</v>
      </c>
      <c r="N31" s="13">
        <v>1.1040000000000001</v>
      </c>
      <c r="O31" s="13">
        <v>1.1259999999999999</v>
      </c>
    </row>
    <row r="32" spans="2:20" ht="17.100000000000001" customHeight="1">
      <c r="B32" s="91" t="s">
        <v>39</v>
      </c>
      <c r="C32" s="86" t="s">
        <v>40</v>
      </c>
      <c r="D32" s="30" t="s">
        <v>40</v>
      </c>
      <c r="E32" s="30" t="s">
        <v>40</v>
      </c>
      <c r="F32" s="30" t="s">
        <v>40</v>
      </c>
      <c r="G32" s="30" t="s">
        <v>40</v>
      </c>
      <c r="H32" s="68" t="s">
        <v>40</v>
      </c>
      <c r="J32" s="13">
        <v>1.02</v>
      </c>
      <c r="K32" s="13">
        <v>1.04</v>
      </c>
      <c r="L32" s="13">
        <v>1.0609999999999999</v>
      </c>
      <c r="M32" s="13">
        <v>1.0820000000000001</v>
      </c>
      <c r="N32" s="13">
        <v>1.1040000000000001</v>
      </c>
      <c r="O32" s="13">
        <v>1.1259999999999999</v>
      </c>
    </row>
    <row r="33" spans="1:21" ht="17.100000000000001" customHeight="1" thickBot="1">
      <c r="B33" s="92" t="s">
        <v>43</v>
      </c>
      <c r="C33" s="87" t="s">
        <v>46</v>
      </c>
      <c r="D33" s="82" t="s">
        <v>46</v>
      </c>
      <c r="E33" s="82" t="s">
        <v>46</v>
      </c>
      <c r="F33" s="82" t="s">
        <v>46</v>
      </c>
      <c r="G33" s="82" t="s">
        <v>46</v>
      </c>
      <c r="H33" s="83" t="s">
        <v>46</v>
      </c>
    </row>
    <row r="34" spans="1:21" ht="17.100000000000001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</row>
    <row r="35" spans="1:21" ht="17.100000000000001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</row>
    <row r="36" spans="1:21" ht="17.100000000000001" customHeight="1" thickBot="1">
      <c r="B36" s="80" t="s">
        <v>54</v>
      </c>
      <c r="C36" s="81"/>
      <c r="D36" s="81"/>
      <c r="E36" s="81"/>
      <c r="F36" s="81"/>
      <c r="G36" s="81"/>
      <c r="H36" s="81"/>
    </row>
    <row r="37" spans="1:21" ht="17.100000000000001" customHeight="1" thickBot="1">
      <c r="B37" s="88" t="s">
        <v>55</v>
      </c>
      <c r="C37" s="81"/>
      <c r="D37" s="81"/>
      <c r="E37" s="81"/>
      <c r="F37" s="81"/>
      <c r="G37" s="81"/>
      <c r="H37" s="81"/>
    </row>
    <row r="38" spans="1:21" ht="14.1" customHeight="1" thickBot="1">
      <c r="B38" s="113" t="s">
        <v>47</v>
      </c>
      <c r="C38" s="110">
        <v>8</v>
      </c>
      <c r="D38" s="111">
        <v>8</v>
      </c>
      <c r="E38" s="111">
        <v>8</v>
      </c>
      <c r="F38" s="111">
        <v>8</v>
      </c>
      <c r="G38" s="111">
        <v>8</v>
      </c>
      <c r="H38" s="112">
        <v>8</v>
      </c>
    </row>
    <row r="39" spans="1:21" ht="15" customHeight="1">
      <c r="A39" s="81"/>
      <c r="B39" s="81" t="s">
        <v>49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</row>
  </sheetData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5e6648-557a-461d-8c6b-56cb21250bc8">
      <Terms xmlns="http://schemas.microsoft.com/office/infopath/2007/PartnerControls"/>
    </lcf76f155ced4ddcb4097134ff3c332f>
    <_Flow_SignoffStatus xmlns="005e6648-557a-461d-8c6b-56cb21250bc8" xsi:nil="true"/>
    <_Status xmlns="http://schemas.microsoft.com/sharepoint/v3/fields">Not Started</_Status>
    <_dlc_DocId xmlns="c8bd6623-0a6a-41b2-880d-a1b0487fc1fe">QE-ICP01-1796277528-427670</_dlc_DocId>
    <_dlc_DocIdUrl xmlns="c8bd6623-0a6a-41b2-880d-a1b0487fc1fe">
      <Url>https://qenergysolutionsse.sharepoint.com/sites/Mind_Services125/_layouts/15/DocIdRedir.aspx?ID=QE-ICP01-1796277528-427670</Url>
      <Description>QE-ICP01-1796277528-427670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686243FDD0141899C515B40769D32" ma:contentTypeVersion="18" ma:contentTypeDescription="Create a new document." ma:contentTypeScope="" ma:versionID="b06becc395ed3b11532e1204a8f33b71">
  <xsd:schema xmlns:xsd="http://www.w3.org/2001/XMLSchema" xmlns:xs="http://www.w3.org/2001/XMLSchema" xmlns:p="http://schemas.microsoft.com/office/2006/metadata/properties" xmlns:ns2="c8bd6623-0a6a-41b2-880d-a1b0487fc1fe" xmlns:ns3="005e6648-557a-461d-8c6b-56cb21250bc8" xmlns:ns4="http://schemas.microsoft.com/sharepoint/v3/fields" targetNamespace="http://schemas.microsoft.com/office/2006/metadata/properties" ma:root="true" ma:fieldsID="622f728d4d09d1b44b8435312c001b16" ns2:_="" ns3:_="" ns4:_="">
    <xsd:import namespace="c8bd6623-0a6a-41b2-880d-a1b0487fc1fe"/>
    <xsd:import namespace="005e6648-557a-461d-8c6b-56cb21250bc8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3:_Flow_SignoffStatus" minOccurs="0"/>
                <xsd:element ref="ns4: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d6623-0a6a-41b2-880d-a1b0487fc1f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e6648-557a-461d-8c6b-56cb21250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0dbd30d-f641-423d-bc52-1117b542d8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4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1AC8F3-80E2-4B1C-97B4-491869C7714B}">
  <ds:schemaRefs>
    <ds:schemaRef ds:uri="http://schemas.microsoft.com/office/2006/documentManagement/types"/>
    <ds:schemaRef ds:uri="c8bd6623-0a6a-41b2-880d-a1b0487fc1f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005e6648-557a-461d-8c6b-56cb21250bc8"/>
    <ds:schemaRef ds:uri="http://purl.org/dc/terms/"/>
    <ds:schemaRef ds:uri="http://schemas.microsoft.com/office/infopath/2007/PartnerControls"/>
    <ds:schemaRef ds:uri="http://schemas.microsoft.com/sharepoint/v3/field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322348-2C1C-45CE-9739-D5450E1111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bd6623-0a6a-41b2-880d-a1b0487fc1fe"/>
    <ds:schemaRef ds:uri="005e6648-557a-461d-8c6b-56cb21250bc8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5D335-0B08-44E4-A5B5-559EF6C4462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05A782B-8F6F-46DA-B188-A17111EA3D9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4deb2ac-2068-4da6-a244-e4302522388f}" enabled="1" method="Standard" siteId="{d83162bb-761b-44bd-84af-590d280ac5e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Revisions</vt:lpstr>
      <vt:lpstr>COPEX_library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Julien Ferrand</dc:creator>
  <cp:keywords/>
  <dc:description/>
  <cp:lastModifiedBy>Julien BORGES COSTA</cp:lastModifiedBy>
  <cp:revision/>
  <dcterms:created xsi:type="dcterms:W3CDTF">2026-10-01T09:05:40Z</dcterms:created>
  <dcterms:modified xsi:type="dcterms:W3CDTF">2026-10-08T13:59:14Z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0x01010051C686243FDD0141899C515B40769D32</vt:lpwstr>
  </property>
  <property fmtid="{D5CDD505-2E9C-101B-9397-08002B2CF9AE}" pid="3" name="RESTechnology">
    <vt:lpwstr/>
  </property>
  <property fmtid="{D5CDD505-2E9C-101B-9397-08002B2CF9AE}" pid="4" name="TaxKeyword">
    <vt:lpwstr/>
  </property>
  <property fmtid="{D5CDD505-2E9C-101B-9397-08002B2CF9AE}" pid="5" name="g09fcc29532d4b5490691015897be1fa">
    <vt:lpwstr/>
  </property>
  <property fmtid="{D5CDD505-2E9C-101B-9397-08002B2CF9AE}" pid="6" name="RESMarket">
    <vt:lpwstr/>
  </property>
  <property fmtid="{D5CDD505-2E9C-101B-9397-08002B2CF9AE}" pid="7" name="a7819c82a8824773afbedbea3423ac6d">
    <vt:lpwstr/>
  </property>
  <property fmtid="{D5CDD505-2E9C-101B-9397-08002B2CF9AE}" pid="8" name="MediaServiceImageTags">
    <vt:lpwstr/>
  </property>
  <property fmtid="{D5CDD505-2E9C-101B-9397-08002B2CF9AE}" pid="9" name="TaxKeywordTaxHTField">
    <vt:lpwstr/>
  </property>
  <property fmtid="{D5CDD505-2E9C-101B-9397-08002B2CF9AE}" pid="10" name="b9a688ed7e17480ca86d83800fb037ce">
    <vt:lpwstr/>
  </property>
  <property fmtid="{D5CDD505-2E9C-101B-9397-08002B2CF9AE}" pid="11" name="a42b45ea441a453e914d1c1dc73694eb">
    <vt:lpwstr/>
  </property>
  <property fmtid="{D5CDD505-2E9C-101B-9397-08002B2CF9AE}" pid="12" name="TaxCatchAll">
    <vt:lpwstr/>
  </property>
  <property fmtid="{D5CDD505-2E9C-101B-9397-08002B2CF9AE}" pid="13" name="Source_x0020_Organisation">
    <vt:lpwstr/>
  </property>
  <property fmtid="{D5CDD505-2E9C-101B-9397-08002B2CF9AE}" pid="14" name="RESCountry">
    <vt:lpwstr/>
  </property>
  <property fmtid="{D5CDD505-2E9C-101B-9397-08002B2CF9AE}" pid="15" name="Source Organisation">
    <vt:lpwstr/>
  </property>
  <property fmtid="{D5CDD505-2E9C-101B-9397-08002B2CF9AE}" pid="16" name="_dlc_DocIdItemGuid">
    <vt:lpwstr>57bca400-4548-417a-8f00-34b4b9986530</vt:lpwstr>
  </property>
</Properties>
</file>